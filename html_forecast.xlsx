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hmet Tosun\PycharmProjects\Global Climate &amp; Energy Analysis\"/>
    </mc:Choice>
  </mc:AlternateContent>
  <xr:revisionPtr revIDLastSave="0" documentId="8_{7447B87B-E31A-4E47-BBDE-BE7F334AB52A}" xr6:coauthVersionLast="47" xr6:coauthVersionMax="47" xr10:uidLastSave="{00000000-0000-0000-0000-000000000000}"/>
  <bookViews>
    <workbookView xWindow="-120" yWindow="-120" windowWidth="29040" windowHeight="15720" xr2:uid="{857C8D25-6D73-4BB2-8BE9-6DAB8B2C4266}"/>
  </bookViews>
  <sheets>
    <sheet name="html_forecast" sheetId="1" r:id="rId1"/>
  </sheets>
  <calcPr calcId="0"/>
</workbook>
</file>

<file path=xl/calcChain.xml><?xml version="1.0" encoding="utf-8"?>
<calcChain xmlns="http://schemas.openxmlformats.org/spreadsheetml/2006/main">
  <c r="AAG3" i="1" l="1"/>
  <c r="BUV3" i="1"/>
  <c r="BUX3" i="1"/>
  <c r="CKU3" i="1"/>
  <c r="CLG3" i="1"/>
  <c r="CLX3" i="1"/>
  <c r="CMH3" i="1"/>
  <c r="CMO3" i="1"/>
  <c r="CMW3" i="1"/>
  <c r="DMB3" i="1"/>
  <c r="DMD3" i="1"/>
  <c r="DMF3" i="1"/>
  <c r="DUN3" i="1"/>
  <c r="DUP3" i="1"/>
  <c r="DVG3" i="1"/>
  <c r="DVI3" i="1"/>
  <c r="DVV3" i="1"/>
  <c r="DVW3" i="1"/>
  <c r="DVX3" i="1"/>
  <c r="DVY3" i="1"/>
  <c r="DWM3" i="1"/>
  <c r="DWO3" i="1"/>
  <c r="IQP3" i="1"/>
  <c r="MFN3" i="1"/>
  <c r="NOK3" i="1"/>
  <c r="ORT3" i="1"/>
  <c r="QGO3" i="1"/>
  <c r="WCH3" i="1"/>
</calcChain>
</file>

<file path=xl/sharedStrings.xml><?xml version="1.0" encoding="utf-8"?>
<sst xmlns="http://schemas.openxmlformats.org/spreadsheetml/2006/main" count="15809" uniqueCount="11272">
  <si>
    <t>html</t>
  </si>
  <si>
    <t>&lt;html&gt;
&lt;head&gt;&lt;meta charset="utf-8" /&gt;&lt;/head&gt;
&lt;body&gt;
    &lt;div&gt;                        &lt;script type="text/javascript"&gt;window.PlotlyConfig = {MathJaxConfig: 'local'};&lt;/script&gt;
        &lt;script type="text/javascript"&gt;/**
* plotly.js v2.35.2
* Copyright 2012-2024, Plotly, Inc.
* All rights reserved.
* Licensed under the MIT license
*/
/*! For license information please see plotly.min.js.LICENSE.txt */
!function(t,e){"object"==typeof exports&amp;&amp;"object"==typeof module?module.exports=e():"function"==typeof define&amp;&amp;define.amd?define([],e):"object"==typeof exports?exports.Plotly=e():t.Plotly=e()}(self,(function(){return function(){var t={6713:function(t,e,r){"use strict";var n=r(34809),i={"X,X div":'direction:ltr;font-family:"Open Sans",verdana,arial,sans-serif;margin:0;padding:0;',"X input,X button":'font-family:"Open Sans",verdana,arial,sans-serif;',"X input:focus,X button:focus":"outline:none;","X a":"text-decoration:none;","X a:hover":"text-decoration:none;","X .crisp":"shape-rendering:crispEdges;","X .user-select-none":"-webkit-user-select:none;-moz-user-select:none;-ms-user-select:none;-o-user-select:none;user-select:none;","X svg":"overflow:hidden;","X svg a":"fill:#447adb;","X svg a:hover":"fill:#3c6dc5;","X .main-svg":"position:absolute;top:0;left:0;pointer-events:none;","X .main-svg .draglayer":"pointer-events:all;","X .cursor-default":"cursor:default;","X .cursor-pointer":"cursor:pointer;","X .cursor-crosshair":"cursor:crosshair;","X .cursor-move":"cursor:move;","X .cursor-col-resize":"cursor:col-resize;","X .cursor-row-resize":"cursor:row-resize;","X .cursor-ns-resize":"cursor:ns-resize;","X .cursor-ew-resize":"cursor:ew-resize;","X .cursor-sw-resize":"cursor:sw-resize;","X .cursor-s-resize":"cursor:s-resize;","X .cursor-se-resize":"cursor:se-resize;","X .cursor-w-resize":"cursor:w-resize;","X .cursor-e-resize":"cursor:e-resize;","X .cursor-nw-resize":"cursor:nw-resize;","X .cursor-n-resize":"cursor:n-resize;","X .cursor-ne-resize":"cursor:ne-resize;","X .cursor-grab":"cursor:-webkit-grab;cursor:grab;","X .modebar":"position:absolute;top:2px;right:2px;","X .ease-bg":"-webkit-transition:background-color .3s ease 0s;-moz-transition:background-color .3s ease 0s;-ms-transition:background-color .3s ease 0s;-o-transition:background-color .3s ease 0s;transition:background-color .3s ease 0s;","X .modebar--hover&gt;:not(.watermark)":"opacity:0;-webkit-transition:opacity .3s ease 0s;-moz-transition:opacity .3s ease 0s;-ms-transition:opacity .3s ease 0s;-o-transition:opacity .3s ease 0s;transition:opacity .3s ease 0s;","X:hover .modebar--hover .modebar-group":"opacity:1;","X .modebar-group":"float:left;display:inline-block;box-sizing:border-box;padding-left:8px;position:relative;vertical-align:middle;white-space:nowrap;","X .modebar-btn":"position:relative;font-size:16px;padding:3px 4px;height:22px;cursor:pointer;line-height:normal;box-sizing:border-box;","X .modebar-btn svg":"position:relative;top:2px;","X .modebar.vertical":"display:flex;flex-direction:column;flex-wrap:wrap;align-content:flex-end;max-height:100%;","X .modebar.vertical svg":"top:-1px;","X .modebar.vertical .modebar-group":"display:block;float:none;padding-left:0px;padding-bottom:8px;","X .modebar.vertical .modebar-group .modebar-btn":"display:block;text-align:center;","X [data-title]:before,X [data-title]:after":"position:absolute;-webkit-transform:translate3d(0, 0, 0);-moz-transform:translate3d(0, 0, 0);-ms-transform:translate3d(0, 0, 0);-o-transform:translate3d(0, 0, 0);transform:translate3d(0, 0, 0);display:none;opacity:0;z-index:1001;pointer-events:none;top:110%;right:50%;","X [data-title]:hover:before,X [data-title]:hover:after":"display:block;opacity:1;","X [data-title]:before":'content:"";position:absolute;background:rgba(0,0,0,0);border:6px solid rgba(0,0,0,0);z-index:1002;margin-top:-12px;border-bottom-color:#69738a;margin-right:-6px;',"X [data-title]:after":"content:attr(data-title);background:#69738a;color:#fff;padding:8px 10px;font-size:12px;line-height:12px;white-space:nowrap;margin-right:-18px;border-radius:2px;","X .vertical [data-title]:before,X .vertical [data-title]:after":"top:0%;right:200%;","X .vertical [data-title]:before":"border:6px solid rgba(0,0,0,0);border-left-color:#69738a;margin-top:8px;margin-right:-30px;",Y:'font-family:"Open Sans",verdana,arial,sans-serif;position:fixed;top:50px;right:20px;z-index:10000;font-size:10pt;max-width:180px;',"Y p":"margin:0;","Y .notifier-note":"min-width:180px;max-width:250px;border:1px solid #fff;z-index:3000;margin:0;background-color:#8c97af;background-color:rgba(140,151,175,.9);color:#fff;padding:10px;overflow-wrap:break-word;word-wrap:break-word;-ms-hyphens:auto;-webkit-hyphens:auto;hyphens:auto;","Y .notifier-close":"color:#fff;opacity:.8;float:right;padding:0 5px;background:none;border:none;font-size:20px;font-weight:bold;line-height:20px;","Y .notifier-close:hover":"color:#444;text-decoration:none;cursor:pointer;"};for(var a in i){var o=a.replace(/^,/," ,").replace(/X/g,".js-plotly-plot .plotly").replace(/Y/g,".plotly-notifier");n.addStyleRule(o,i[a])}},14187:function(t,e,r){"use strict";t.exports=r(47908)},20273:function(t,e,r){"use strict";t.exports=r(58218)},6457:function(t,e,r){"use strict";t.exports=r(89362)},15849:function(t,e,r){"use strict";t.exports=r(53794)},38847:function(t,e,r){"use strict";t.exports=r(29698)},7659:function(t,e,r){"use strict";t.exports=r(51252)},60089:function(t,e,r){"use strict";t.exports=r(48050)},22084:function(t,e,r){"use strict";t.exports=r(58075)},35892:function(t,e,r){"use strict";t.exports=r(9419)},81204:function(t,e,r){"use strict";t.exports=r(28128)},55857:function(t,e,r){"use strict";t.exports=r(47050)},12862:function(t,e,r){"use strict";t.exports=r(91405)},97629:function(t,e,r){"use strict";t.exports=r(34406)},67549:function(t,e,r){"use strict";t.exports=r(17430)},2660:function(t,e,r){"use strict";t.exports=r(91995)},86071:function(t,e,r){"use strict";t.exports=r(81264)},66200:function(t,e,r){"use strict";t.exports=r(42849)},53446:function(t,e,r){"use strict";t.exports=r(52213)},86899:function(t,e,r){"use strict";t.exports=r(91132)},13430:function(t,e,r){"use strict";t.exports=r(50453)},21548:function(t,e,r){"use strict";t.exports=r(29251)},53939:function(t,e,r){"use strict";t.exports=r(72892)},1902:function(t,e,r){"use strict";t.exports=r(74461)},29096:function(t,e,r){"use strict";t.exports=r(66143)},23820:function(t,e,r){"use strict";t.exports=r(81955)},82017:function(t,e,r){"use strict";t.exports=r(36858)},113:function(t,e,r){"use strict";t.exports=r(92106)},20260:function(t,e,r){"use strict";var n=r(67549);n.register([r(20273),r(15849),r(21548),r(1902),r(29096),r(23820),r(12862),r(1639),r(10067),r(53446),r(31014),r(113),r(78170),r(8202),r(92382),r(82017),r(86899),r(54357),r(66903),r(90594),r(71680),r(7412),r(55857),r(784),r(74221),r(22084),r(44001),r(97281),r(12345),r(53939),r(29117),r(5410),r(5057),r(81204),r(86071),r(14226),r(35892),r(2660),r(96599),r(28573),r(76832),r(60089),r(51469),r(97629),r(27700),r(7659),r(11780),r(27195),r(6457),r(84639),r(14187),r(66200),r(13430),r(90590),r(38847)]),t.exports=n},28573:function(t,e,r){"use strict";t.exports=r(25638)},90594:function(t,e,r){"use strict";t.exports=r(75297)},7412:function(t,e,r){"use strict";t.exports=r(58859)},27700:function(t,e,r){"use strict";t.exports=r(12683)},5410:function(t,e,r){"use strict";t.exports=r(6305)},29117:function(t,e,r){"use strict";t.exports=r(83910)},78170:function(t,e,r){"use strict";t.exports=r(49913)},12345:function(t,e,r){"use strict";t.exports=r(15186)},96599:function(t,e,r){"use strict";t.exports=r(71760)},54357:function(t,e,r){"use strict";t.exports=r(17822)},51469:function(t,e,r){"use strict";t.exports=r(56534)},74221:function(t,e,r){"use strict";t.exports=r(18070)},44001:function(t,e,r){"use strict";t.exports=r(52378)},14226:function(t,e,r){"use strict";t.exports=r(30929)},5057:function(t,e,r){"use strict";t.exports=r(83866)},11780:function(t,e,r){"use strict";t.exports=r(66939)},27195:function(t,e,r){"use strict";t.exports=r(23748)},84639:function(t,e,r){"use strict";t.exports=r(73304)},1639:function(t,e,r){"use strict";t.exports=r(12864)},90590:function(t,e,r){"use strict";t.exports=r(99855)},97281:function(t,e,r){"use strict";t.exports=r(91450)},784:function(t,e,r){"use strict";t.exports=r(51943)},8202:function(t,e,r){"use strict";t.exports=r(80809)},66903:function(t,e,r){"use strict";t.exports=r(95984)},76832:function(t,e,r){"use strict";t.exports=r(51671)},92382:function(t,e,r){"use strict";t.exports=r(47181)},10067:function(t,e,r){"use strict";t.exports=r(37276)},71680:function(t,e,r){"use strict";t.exports=r(75703)},31014:function(t,e,r){"use strict";t.exports=r(38261)},11645:function(t){"use strict";t.exports=[{path:"",backoff:0},{path:"M-2.4,-3V3L0.6,0Z",backoff:.6},{path:"M-3.7,-2.5V2.5L1.3,0Z",backoff:1.3},{path:"M-4.45,-3L-1.65,-0.2V0.2L-4.45,3L1.55,0Z",backoff:1.55},{path:"M-2.2,-2.2L-0.2,-0.2V0.2L-2.2,2.2L-1.4,3L1.6,0L-1.4,-3Z",backoff:1.6},{path:"M-4.4,-2.1L-0.6,-0.2V0.2L-4.4,2.1L-4,3L2,0L-4,-3Z",backoff:2},{path:"M2,0A2,2 0 1,1 0,-2A2,2 0 0,1 2,0Z",backoff:0,noRotate:!0},{path:"M2,2V-2H-2V2Z",backoff:0,noRotate:!0}]},50222:function(t,e,r){"use strict";var n=r(11645),i=r(80337),a=r(54826),o=r(78032).templatedArray;r(35081),t.exports=o("annotation",{visible:{valType:"boolean",dflt:!0,editType:"calc+arraydraw"},text:{valType:"string",editType:"calc+arraydraw"},textangle:{valType:"angle",dflt:0,editType:"calc+arraydraw"},font:i({editType:"calc+arraydraw",colorEditType:"arraydraw"}),width:{valType:"number",min:1,dflt:null,editType:"calc+arraydraw"},height:{valType:"number",min:1,dflt:null,editType:"calc+arraydraw"},opacity:{valType:"number",min:0,max:1,dflt:1,editType:"arraydraw"},align:{valType:"enumerated",values:["left","center","right"],dflt:"center",editType:"arraydraw"},valign:{valType:"enumerated",values:["top","middle","bottom"],dflt:"middle",editType:"arraydraw"},bgcolor:{valType:"color",dflt:"rgba(0,0,0,0)",editType:"arraydraw"},bordercolor:{valType:"color",dflt:"rgba(0,0,0,0)",editType:"arraydraw"},borderpad:{valType:"number",min:0,dflt:1,editType:"calc+arraydraw"},borderwidth:{valType:"number",min:0,dflt:1,editType:"calc+arraydraw"},showarrow:{valType:"boolean",dflt:!0,editType:"calc+arraydraw"},arrowcolor:{valType:"color",editType:"arraydraw"},arrowhead:{valType:"integer",min:0,max:n.length,dflt:1,editType:"arraydraw"},startarrowhead:{valType:"integer",min:0,max:n.length,dflt:1,editType:"arraydraw"},arrowside:{valType:"flaglist",flags:["end","start"],extras:["none"],dflt:"end",editType:"arraydraw"},arrowsize:{valType:"number",min:.3,dflt:1,editType:"calc+arraydraw"},startarrowsize:{valType:"number",min:.3,dflt:1,editType:"calc+arraydraw"},arrowwidth:{valType:"number",min:.1,editType:"calc+arraydraw"},standoff:{valType:"number",min:0,dflt:0,editType:"calc+arraydraw"},startstandoff:{valType:"number",min:0,dflt:0,editType:"calc+arraydraw"},ax:{valType:"any",editType:"calc+arraydraw"},ay:{valType:"any",editType:"calc+arraydraw"},axref:{valType:"enumerated",dflt:"pixel",values:["pixel",a.idRegex.x.toString()],editType:"calc"},ayref:{valType:"enumerated",dflt:"pixel",values:["pixel",a.idRegex.y.toString()],editType:"calc"},xref:{valType:"enumerated",values:["paper",a.idRegex.x.toString()],editType:"calc"},x:{valType:"any",editType:"calc+arraydraw"},xanchor:{valType:"enumerated",values:["auto","left","center","right"],dflt:"auto",editType:"calc+arraydraw"},xshift:{valType:"number",dflt:0,editType:"calc+arraydraw"},yref:{valType:"enumerated",values:["paper",a.idRegex.y.toString()],editType:"calc"},y:{valType:"any",editType:"calc+arraydraw"},yanchor:{valType:"enumerated",values:["auto","top","middle","bottom"],dflt:"auto",editType:"calc+arraydraw"},yshift:{valType:"number",dflt:0,editType:"calc+arraydraw"},clicktoshow:{valType:"enumerated",values:[!1,"onoff","onout"],dflt:!1,editType:"arraydraw"},xclick:{valType:"any",editType:"arraydraw"},yclick:{valType:"any",editType:"arraydraw"},hovertext:{valType:"string",editType:"arraydraw"},hoverlabel:{bgcolor:{valType:"color",editType:"arraydraw"},bordercolor:{valType:"color",editType:"arraydraw"},font:i({editType:"arraydraw"}),editType:"arraydraw"},captureevents:{valType:"boolean",editType:"arraydraw"},editType:"calc",_deprecated:{ref:{valType:"string",editType:"calc"}}})},60317:function(t,e,r){"use strict";var n=r(34809),i=r(29714),a=r(3377).draw;function o(t){var e=t._fullLayout;n.filterVisible(e.annotations).forEach((function(e){var r=i.getFromId(t,e.xref),n=i.getFromId(t,e.yref),a=i.getRefType(e.xref),o=i.getRefType(e.yref);e._extremes={},"range"===a&amp;&amp;s(e,r),"range"===o&amp;&amp;s(e,n)}))}function s(t,e){var r,n=e._id,a=n.charAt(0),o=t[a],s=t["a"+a],l=t[a+"ref"],c=t["a"+a+"ref"],u=t["_"+a+"padplus"],h=t["_"+a+"padminus"],f={x:1,y:-1}[a]*t[a+"shift"],p=3*t.arrowsize*t.arrowwidth||0,d=p+f,m=p-f,g=3*t.startarrowsize*t.arrowwidth||0,y=g+f,v=g-f;if(c===l){var x=i.findExtremes(e,[e.r2c(o)],{ppadplus:d,ppadminus:m}),_=i.findExtremes(e,[e.r2c(s)],{ppadplus:Math.max(u,y),ppadminus:Math.max(h,v)});r={min:[x.min[0],_.min[0]],max:[x.max[0],_.max[0]]}}else y=s?y+s:y,v=s?v-s:v,r=i.findExtremes(e,[e.r2c(o)],{ppadplus:Math.max(u,d,y),ppadminus:Math.max(h,m,v)});t._extremes[n]=r}t.exports=function(t){var e=t._fullLayout;if(n.filterVisible(e.annotations).length&amp;&amp;t._fullData.length)return n.syncOrAsync([a,o],t)}},6035:function(t,e,r){"use strict";var n=r(34809),i=r(33626),a=r(78032).arrayEditor;function o(t,e){var r,n,i,a,o,l,c,u=t._fullLayout.annotations,h=[],f=[],p=[],d=(e||[]).length;for(r=0;r&lt;u.length;r++)if(a=(i=u[r]).clicktoshow){for(n=0;n&lt;d;n++)if(l=(o=e[n]).xaxis,c=o.yaxis,l._id===i.xref&amp;&amp;c._id===i.yref&amp;&amp;l.d2r(o.x)===s(i._xclick,l)&amp;&amp;c.d2r(o.y)===s(i._yclick,c)){(i.visible?"onout"===a?f:p:h).push(r);break}n===d&amp;&amp;i.visible&amp;&amp;"onout"===a&amp;&amp;f.push(r)}return{on:h,off:f,explicitOff:p}}function s(t,e){return"log"===e.type?e.l2r(t):e.d2r(t)}t.exports={hasClickToShow:function(t,e){var r=o(t,e);return r.on.length&gt;0||r.explicitOff.length&gt;0},onClick:function(t,e){var r,s,l=o(t,e),c=l.on,u=l.off.concat(l.explicitOff),h={},f=t._fullLayout.annotations;if(c.length||u.length){for(r=0;r&lt;c.length;r++)(s=a(t.layout,"annotations",f[c[r]])).modifyItem("visible",!0),n.extendFlat(h,s.getUpdateObj());for(r=0;r&lt;u.length;r++)(s=a(t.layout,"annotations",f[u[r]])).modifyItem("visible",!1),n.extendFlat(h,s.getUpdateObj());return i.call("update",t,{},h)}}}},53271:function(t,e,r){"use strict";var n=r(34809),i=r(78766);t.exports=function(t,e,r,a){a("opacity");var o=a("bgcolor"),s=a("bordercolor"),l=i.opacity(s);a("borderpad");var c=a("borderwidth"),u=a("showarrow");if(a("text",u?" ":r._dfltTitle.annotation),a("textangle"),n.coerceFont(a,"font",r.font),a("width"),a("align"),a("height")&amp;&amp;a("valign"),u){var h,f,p=a("arrowside");-1!==p.indexOf("end")&amp;&amp;(h=a("arrowhead"),f=a("arrowsize")),-1!==p.indexOf("start")&amp;&amp;(a("startarrowhead",h),a("startarrowsize",f)),a("arrowcolor",l?e.bordercolor:i.defaultLine),a("arrowwidth",2*(l&amp;&amp;c||1)),a("standoff"),a("startstandoff")}var d=a("hovertext"),m=r.hoverlabel||{};if(d){var g=a("hoverlabel.bgcolor",m.bgcolor||(i.opacity(o)?i.rgb(o):i.defaultLine)),y=a("hoverlabel.bordercolor",m.bordercolor||i.contrast(g)),v=n.extendFlat({},m.font);v.color||(v.color=y),n.coerceFont(a,"hoverlabel.font",v)}a("captureevents",!!d)}},59741:function(t,e,r){"use strict";var n=r(10721),i=r(8083);t.exports=function(t,e,r,a){e=e||{};var o="log"===r&amp;&amp;"linear"===e.type,s="linear"===r&amp;&amp;"log"===e.type;if(o||s)for(var l,c,u=t._fullLayout.annotations,h=e._id.charAt(0),f=0;f&lt;u.length;f++)l=u[f],c="annotations["+f+"].",l[h+"ref"]===e._id&amp;&amp;p(h),l["a"+h+"ref"]===e._id&amp;&amp;p("a"+h);function p(t){var r=l[t],s=null;s=o?i(r,e.range):Math.pow(10,r),n(s)||(s=null),a(c+t,s)}}},63737:function(t,e,r){"use strict";var n=r(34809),i=r(29714),a=r(59008),o=r(53271),s=r(50222);function l(t,e,r){function a(r,i){return n.coerce(t,e,s,r,i)}var l=a("visible"),c=a("clicktoshow");if(l||c){o(t,e,r,a);for(var u=e.showarrow,h=["x","y"],f=[-10,-30],p={_fullLayout:r},d=0;d&lt;2;d++){var m=h[d],g=i.coerceRef(t,e,p,m,"","paper");if("paper"!==g&amp;&amp;i.getFromId(p,g)._annIndices.push(e._index),i.coercePosition(e,p,a,g,m,.5),u){var y="a"+m,v=i.coerceRef(t,e,p,y,"pixel",["pixel","paper"]);"pixel"!==v&amp;&amp;v!==g&amp;&amp;(v=e[y]="pixel");var x="pixel"===v?f[d]:.4;i.coercePosition(e,p,a,v,y,x)}a(m+"anchor"),a(m+"shift")}if(n.noneOrAll(t,e,["x","y"]),u&amp;&amp;n.noneOrAll(t,e,["ax","ay"]),c){var _=a("xclick"),b=a("yclick");e._xclick=void 0===_?e.x:i.cleanPosition(_,p,e.xref),e._yclick=void 0===b?e.y:i.cleanPosition(b,p,e.yref)}}}t.exports=function(t,e){a(t,e,{name:"annotations",handleItemDefaults:l})}},3377:function(t,e,r){"use strict";var n=r(45568),i=r(33626),a=r(44122),o=r(34809),s=o.strTranslate,l=r(29714),c=r(78766),u=r(62203),h=r(32141),f=r(30635),p=r(27983),d=r(14751),m=r(78032).arrayEditor,g=r(23768);function y(t,e){var r=t._fullLayout.annotations[e]||{},n=l.getFromId(t,r.xref),i=l.getFromId(t,r.yref);n&amp;&amp;n.setScale(),i&amp;&amp;i.setScale(),x(t,r,e,!1,n,i)}function v(t,e,r,n,i){var a=i[r],o=i[r+"ref"],s=-1!==r.indexOf("y"),c="domain"===l.getRefType(o),u=s?n.h:n.w;return t?c?a+(s?-e:e)/t._length:t.p2r(t.r2p(a)+e):a+(s?-e:e)/u}function x(t,e,r,a,y,x){var _,b,w=t._fullLayout,T=t._fullLayout._size,k=t._context.edits;a?(_="annotation-"+a,b=a+".annotations"):(_="annotation",b="annotations");var A=m(t.layout,b,e),M=A.modifyBase,S=A.modifyItem,E=A.getUpdateObj;w._infolayer.selectAll("."+_+'[data-index="'+r+'"]').remove();var C="clip"+w._uid+"_ann"+r;if(e._input&amp;&amp;!1!==e.visible){var L={x:{},y:{}},I=+e.textangle||0,P=w._infolayer.append("g").classed(_,!0).attr("data-index",String(r)).style("opacity",e.opacity),z=P.append("g").classed("annotation-text-g",!0),O=k[e.showarrow?"annotationTail":"annotationPosition"],D=e.captureevents||k.annotationText||O,R=z.append("g").style("pointer-events",D?"all":null).call(p,"pointer").on("click",(function(){t._dragging=!1,t.emit("plotly_clickannotation",Z(n.event))}));e.hovertext&amp;&amp;R.on("mouseover",(function(){var r=e.hoverlabel,n=r.font,i=this.getBoundingClientRect(),a=t.getBoundingClientRect();h.loneHover({x0:i.left-a.left,x1:i.right-a.left,y:(i.top+i.bottom)/2-a.top,text:e.hovertext,color:r.bgcolor,borderColor:r.bordercolor,fontFamily:n.family,fontSize:n.size,fontColor:n.color,fontWeight:n.weight,fontStyle:n.style,fontVariant:n.variant,fontShadow:n.fontShadow,fontLineposition:n.fontLineposition,fontTextcase:n.fontTextcase},{container:w._hoverlayer.node(),outerContainer:w._paper.node(),gd:t})})).on("mouseout",(function(){h.loneUnhover(w._hoverlayer.node())}));var F=e.borderwidth,B=e.borderpad,N=F+B,j=R.append("rect").attr("class","bg").style("stroke-width",F+"px").call(c.stroke,e.bordercolor).call(c.fill,e.bgcolor),U=e.width||e.height,V=w._topclips.selectAll("#"+C).data(U?[0]:[]);V.enter().append("clipPath").classed("annclip",!0).attr("id",C).append("rect"),V.exit().remove();var q=e.font,H=w._meta?o.templateString(e.text,w._meta):e.text,G=R.append("text").classed("annotation-text",!0).text(H);k.annotationText?G.call(f.makeEditable,{delegate:R,gd:t}).call(W).on("edit",(function(r){e.text=r,this.call(W),S("text",r),y&amp;&amp;y.autorange&amp;&amp;M(y._name+".autorange",!0),x&amp;&amp;x.autorange&amp;&amp;M(x._name+".autorange",!0),i.call("_guiRelayout",t,E())})):G.call(W)}else n.selectAll("#"+C).remove();function Z(t){var n={index:r,annotation:e._input,fullAnnotation:e,event:t};return a&amp;&amp;(n.subplotId=a),n}function W(r){return r.call(u.font,q).attr({"text-anchor":{left:"start",right:"end"}[e.align]||"middle"}),f.convertToTspans(r,t,Y),r}function Y(){var r=G.selectAll("a");1===r.size()&amp;&amp;r.text()===G.text()&amp;&amp;R.insert("a",":first-child").attr({"xlink:xlink:href":r.attr("xlink:href"),"xlink:xlink:show":r.attr("xlink:show")}).style({cursor:"pointer"}).node().appendChild(j.node());var n=R.select(".annotation-text-math-group"),h=!n.empty(),m=u.bBox((h?n:G).node()),_=m.width,b=m.height,A=e.width||_,D=e.height||b,B=Math.round(A+2*N),q=Math.round(D+2*N);function H(t,e){return"auto"===e&amp;&amp;(e=t&lt;1/3?"left":t&gt;2/3?"right":"center"),{center:0,middle:0,left:.5,bottom:-.5,right:-.5,top:.5}[e]}for(var W=!1,Y=["x","y"],X=0;X&lt;Y.length;X++){var $,J,K,Q,tt,et=Y[X],rt=e[et+"ref"]||et,nt=e["a"+et+"ref"],it={x:y,y:x}[et],at=(I+("x"===et?0:-90))*Math.PI/180,ot=B*Math.cos(at),st=q*Math.sin(at),lt=Math.abs(ot)+Math.abs(st),ct=e[et+"anchor"],ut=e[et+"shift"]*("x"===et?1:-1),ht=L[et],ft=l.getRefType(rt);if(it&amp;&amp;"domain"!==ft){var pt=it.r2fraction(e[et]);(pt&lt;0||pt&gt;1)&amp;&amp;(nt===rt?((pt=it.r2fraction(e["a"+et]))&lt;0||pt&gt;1)&amp;&amp;(W=!0):W=!0),$=it._offset+it.r2p(e[et]),Q=.5}else{var dt="domain"===ft;"x"===et?(K=e[et],$=dt?it._offset+it._length*K:$=T.l+T.w*K):(K=1-e[et],$=dt?it._offset+it._length*K:$=T.t+T.h*K),Q=e.showarrow?.5:K}if(e.showarrow){ht.head=$;var mt=e["a"+et];if(tt=ot*H(.5,e.xanchor)-st*H(.5,e.yanchor),nt===rt){var gt=l.getRefType(nt);"domain"===gt?("y"===et&amp;&amp;(mt=1-mt),ht.tail=it._offset+it._length*mt):"paper"===gt?"y"===et?(mt=1-mt,ht.tail=T.t+T.h*mt):ht.tail=T.l+T.w*mt:ht.tail=it._offset+it.r2p(mt),J=tt}else ht.tail=$+mt,J=tt+mt;ht.text=ht.tail+tt;var yt=w["x"===et?"width":"height"];if("paper"===rt&amp;&amp;(ht.head=o.constrain(ht.head,1,yt-1)),"pixel"===nt){var vt=-Math.max(ht.tail-3,ht.text),xt=Math.min(ht.tail+3,ht.text)-yt;vt&gt;0?(ht.tail+=vt,ht.text+=vt):xt&gt;0&amp;&amp;(ht.tail-=xt,ht.text-=xt)}ht.tail+=ut,ht.head+=ut}else J=tt=lt*H(Q,ct),ht.text=$+tt;ht.text+=ut,tt+=ut,J+=ut,e["_"+et+"padplus"]=lt/2+J,e["_"+et+"padminus"]=lt/2-J,e["_"+et+"size"]=lt,e["_"+et+"shift"]=tt}if(W)R.remove();else{var _t=0,bt=0;if("left"!==e.align&amp;&amp;(_t=(A-_)*("center"===e.align?.5:1)),"top"!==e.valign&amp;&amp;(bt=(D-b)*("middle"===e.valign?.5:1)),h)n.select("svg").attr({x:N+_t-1,y:N+bt}).call(u.setClipUrl,U?C:null,t);else{var wt=N+bt-m.top,Tt=N+_t-m.left;G.call(f.positionText,Tt,wt).call(u.setClipUrl,U?C:null,t)}V.select("rect").call(u.setRect,N,N,A,D),j.call(u.setRect,F/2,F/2,B-F,q-F),R.call(u.setTranslate,Math.round(L.x.text-B/2),Math.round(L.y.text-q/2)),z.attr({transform:"rotate("+I+","+L.x.text+","+L.y.text+")"});var kt,At=function(r,n){P.selectAll(".annotation-arrow-g").remove();var l=L.x.head,h=L.y.head,f=L.x.tail+r,p=L.y.tail+n,m=L.x.text+r,_=L.y.text+n,b=o.rotationXYMatrix(I,m,_),w=o.apply2DTransform(b),A=o.apply2DTransform2(b),C=+j.attr("width"),O=+j.attr("height"),D=m-.5*C,F=D+C,B=_-.5*O,N=B+O,U=[[D,B,D,N],[D,N,F,N],[F,N,F,B],[F,B,D,B]].map(A);if(!U.reduce((function(t,e){return t^!!o.segmentsIntersect(l,h,l+1e6,h+1e6,e[0],e[1],e[2],e[3])}),!1)){U.forEach((function(t){var e=o.segmentsIntersect(f,p,l,h,t[0],t[1],t[2],t[3]);e&amp;&amp;(f=e.x,p=e.y)}));var V=e.arrowwidth,q=e.arrowcolor,H=e.arrowside,G=P.append("g").style({opacity:c.opacity(q)}).classed("annotation-arrow-g",!0),Z=G.append("path").attr("d","M"+f+","+p+"L"+l+","+h).style("stroke-width",V+"px").call(c.stroke,c.rgb(q));if(g(Z,H,e),k.annotationPosition&amp;&amp;Z.node().parentNode&amp;&amp;!a){var W=l,Y=h;if(e.standoff){var X=Math.sqrt(Math.pow(l-f,2)+Math.pow(h-p,2));W+=e.standoff*(f-l)/X,Y+=e.standoff*(p-h)/X}var $,J,K=G.append("path").classed("annotation-arrow",!0).classed("anndrag",!0).classed("cursor-move",!0).attr({d:"M3,3H-3V-3H3ZM0,0L"+(f-W)+","+(p-Y),transform:s(W,Y)}).style("stroke-width",V+6+"px").call(c.stroke,"rgba(0,0,0,0)").call(c.fill,"rgba(0,0,0,0)");d.init({element:K.node(),gd:t,prepFn:function(){var t=u.getTranslate(R);$=t.x,J=t.y,y&amp;&amp;y.autorange&amp;&amp;M(y._name+".autorange",!0),x&amp;&amp;x.autorange&amp;&amp;M(x._name+".autorange",!0)},moveFn:function(t,r){var n=w($,J),i=n[0]+t,a=n[1]+r;R.call(u.setTranslate,i,a),S("x",v(y,t,"x",T,e)),S("y",v(x,r,"y",T,e)),e.axref===e.xref&amp;&amp;S("ax",v(y,t,"ax",T,e)),e.ayref===e.yref&amp;&amp;S("ay",v(x,r,"ay",T,e)),G.attr("transform",s(t,r)),z.attr({transform:"rotate("+I+","+i+","+a+")"})},doneFn:function(){i.call("_guiRelayout",t,E());var e=document.querySelector(".js-notes-box-panel");e&amp;&amp;e.redraw(e.selectedObj)}})}}};e.showarrow&amp;&amp;At(0,0),O&amp;&amp;d.init({element:R.node(),gd:t,prepFn:function(){kt=z.attr("transform")},moveFn:function(t,r){var n="pointer";if(e.showarrow)e.axref===e.xref?S("ax",v(y,t,"ax",T,e)):S("ax",e.ax+t),e.ayref===e.yref?S("ay",v(x,r,"ay",T.w,e)):S("ay",e.ay+r),At(t,r);else{if(a)return;var i,o;if(y)i=v(y,t,"x",T,e);else{var l=e._xsize/T.w,c=e.x+(e._xshift-e.xshift)/T.w-l/2;i=d.align(c+t/T.w,l,0,1,e.xanchor)}if(x)o=v(x,r,"y",T,e);else{var u=e._ysize/T.h,h=e.y-(e._yshift+e.yshift)/T.h-u/2;o=d.align(h-r/T.h,u,0,1,e.yanchor)}S("x",i),S("y",o),y&amp;&amp;x||(n=d.getCursor(y?.5:i,x?.5:o,e.xanchor,e.yanchor))}z.attr({transform:s(t,r)+kt}),p(R,n)},clickFn:function(r,n){e.captureevents&amp;&amp;t.emit("plotly_clickannotation",Z(n))},doneFn:function(){p(R),i.call("_guiRelayout",t,E());var e=document.querySelector(".js-notes-box-panel");e&amp;&amp;e.redraw(e.selectedObj)}})}}}t.exports={draw:function(t){var e=t._fullLayout;e._infolayer.selectAll(".annotation").remove();for(var r=0;r&lt;e.annotations.length;r++)e.annotations[r].visible&amp;&amp;y(t,r);return a.previousPromises(t)},drawOne:y,drawRaw:x}},23768:function(t,e,r){"use strict";var n=r(45568),i=r(78766),a=r(11645),o=r(34809),s=o.strScale,l=o.strRotate,c=o.strTranslate;t.exports=function(t,e,r){var o,u,h,f,p=t.node(),d=a[r.arrowhead||0],m=a[r.startarrowhead||0],g=(r.arrowwidth||1)*(r.arrowsize||1),y=(r.arrowwidth||1)*(r.startarrowsize||1),v=e.indexOf("start")&gt;=0,x=e.indexOf("end")&gt;=0,_=d.backoff*g+r.standoff,b=m.backoff*y+r.startstandoff;if("line"===p.nodeName){o={x:+t.attr("x1"),y:+t.attr("y1")},u={x:+t.attr("x2"),y:+t.attr("y2")};var w=o.x-u.x,T=o.y-u.y;if(f=(h=Math.atan2(T,w))+Math.PI,_&amp;&amp;b&amp;&amp;_+b&gt;Math.sqrt(w*w+T*T))return void O();if(_){if(_*_&gt;w*w+T*T)return void O();var k=_*Math.cos(h),A=_*Math.sin(h);u.x+=k,u.y+=A,t.attr({x2:u.x,y2:u.y})}if(b){if(b*b&gt;w*w+T*T)return void O();var M=b*Math.cos(h),S=b*Math.sin(h);o.x-=M,o.y-=S,t.attr({x1:o.x,y1:o.y})}}else if("path"===p.nodeName){var E=p.getTotalLength(),C="";if(E&lt;_+b)return void O();var L=p.getPointAtLength(0),I=p.getPointAtLength(.1);h=Math.atan2(L.y-I.y,L.x-I.x),o=p.getPointAtLength(Math.min(b,E)),C="0px,"+b+"px,";var P=p.getPointAtLength(E),z=p.getPointAtLength(E-.1);f=Math.atan2(P.y-z.y,P.x-z.x),u=p.getPointAtLength(Math.max(0,E-_)),C+=E-(C?b+_:_)+"px,"+E+"px",t.style("stroke-dasharray",C)}function O(){t.style("stroke-dasharray","0px,100px")}function D(e,a,o,u){e.path&amp;&amp;(e.noRotate&amp;&amp;(o=0),n.select(p.parentNode).append("path").attr({class:t.attr("class"),d:e.path,transform:c(a.x,a.y)+l(180*o/Math.PI)+s(u)}).style({fill:i.rgb(r.arrowcolor),"stroke-width":0}))}v&amp;&amp;D(m,o,h,y),x&amp;&amp;D(d,u,f,g)}},3599:function(t,e,r){"use strict";var n=r(3377),i=r(6035);t.exports={moduleType:"component",name:"annotations",layoutAttributes:r(50222),supplyLayoutDefaults:r(63737),includeBasePlot:r(20706)("annotations"),calcAutorange:r(60317),draw:n.draw,drawOne:n.drawOne,drawRaw:n.drawRaw,hasClickToShow:i.hasClickToShow,onClick:i.onClick,convertCoords:r(59741)}},38239:function(t,e,r){"use strict";var n=r(50222),i=r(13582).overrideAll,a=r(78032).templatedArray;t.exports=i(a("annotation",{visible:n.visible,x:{valType:"any"},y:{valType:"any"},z:{valType:"any"},ax:{valType:"number"},ay:{valType:"number"},xanchor:n.xanchor,xshift:n.xshift,yanchor:n.yanchor,yshift:n.yshift,text:n.text,textangle:n.textangle,font:n.font,width:n.width,height:n.height,opacity:n.opacity,align:n.align,valign:n.valign,bgcolor:n.bgcolor,bordercolor:n.bordercolor,borderpad:n.borderpad,borderwidth:n.borderwidth,showarrow:n.showarrow,arrowcolor:n.arrowcolor,arrowhead:n.arrowhead,startarrowhead:n.startarrowhead,arrowside:n.arrowside,arrowsize:n.arrowsize,startarrowsize:n.startarrowsize,arrowwidth:n.arrowwidth,standoff:n.standoff,startstandoff:n.startstandoff,hovertext:n.hovertext,hoverlabel:n.hoverlabel,captureevents:n.captureevents}),"calc","from-root")},47979:function(t,e,r){"use strict";var n=r(34809),i=r(29714);function a(t,e){var r=e.fullSceneLayout.domain,a=e.fullLayout._size,o={pdata:null,type:"linear",autorange:!1,range:[-1/0,1/0]};t._xa={},n.extendFlat(t._xa,o),i.setConvert(t._xa),t._xa._offset=a.l+r.x[0]*a.w,t._xa.l2p=function(){return.5*(1+t._pdata[0]/t._pdata[3])*a.w*(r.x[1]-r.x[0])},t._ya={},n.extendFlat(t._ya,o),i.setConvert(t._ya),t._ya._offset=a.t+(1-r.y[1])*a.h,t._ya.l2p=function(){return.5*(1-t._pdata[1]/t._pdata[3])*a.h*(r.y[1]-r.y[0])}}t.exports=function(t){for(var e=t.fullSceneLayout.annotations,r=0;r&lt;e.length;r++)a(e[r],t);t.fullLayout._infolayer.selectAll(".annotation-"+t.id).remove()}},34232:function(t,e,r){"use strict";var n=r(34809),i=r(29714),a=r(59008),o=r(53271),s=r(38239);function l(t,e,r,a){function l(r,i){return n.coerce(t,e,s,r,i)}function c(t){var n=t+"axis",a={_fullLayout:{}};return a._fullLayout[n]=r[n],i.coercePosition(e,a,l,t,t,.5)}l("visible")&amp;&amp;(o(t,e,a.fullLayout,l),c("x"),c("y"),c("z"),n.noneOrAll(t,e,["x","y","z"]),e.xref="x",e.yref="y",e.zref="z",l("xanchor"),l("yanchor"),l("xshift"),l("yshift"),e.showarrow&amp;&amp;(e.axref="pixel",e.ayref="pixel",l("ax",-10),l("ay",-30),n.noneOrAll(t,e,["ax","ay"])))}t.exports=function(t,e,r){a(t,e,{name:"annotations",handleItemDefaults:l,fullLayout:r.fullLayout})}},9756:function(t,e,r){"use strict";var n=r(3377).drawRaw,i=r(25802),a=["x","y","z"];t.exports=function(t){for(var e=t.fullSceneLayout,r=t.dataScale,o=e.annotations,s=0;s&lt;o.length;s++){for(var l=o[s],c=!1,u=0;u&lt;3;u++){var h=a[u],f=l[h],p=e[h+"axis"].r2fraction(f);if(p&lt;0||p&gt;1){c=!0;break}}c?t.fullLayout._infolayer.select(".annotation-"+t.id+'[data-index="'+s+'"]').remove():(l._pdata=i(t.glplot.cameraParams,[e.xaxis.r2l(l.x)*r[0],e.yaxis.r2l(l.y)*r[1],e.zaxis.r2l(l.z)*r[2]]),n(t.graphDiv,l,s,t.id,l._xa,l._ya))}}},83348:function(t,e,r){"use strict";var n=r(33626),i=r(34809);t.exports={moduleType:"component",name:"annotations3d",schema:{subplots:{scene:{annotations:r(38239)}}},layoutAttributes:r(38239),handleDefaults:r(34232),includeBasePlot:function(t,e){var r=n.subplotsRegistry.gl3d;if(r)for(var a=r.attrRegex,o=Object.keys(t),s=0;s&lt;o.length;s++){var l=o[s];a.test(l)&amp;&amp;(t[l].annotations||[]).length&amp;&amp;(i.pushUnique(e._basePlotModules,r),i.pushUnique(e._subplots.gl3d,l))}},convert:r(47979),draw:r(9756)}},37177:function(t,e,r){"use strict";t.exports=r(24453),r(23428),r(1401),r(72210),r(28569),r(81133),r(78295),r(25512),r(42645),r(62324),r(91662),r(66445),r(50506),r(84756),r(41858),r(57985)},29698:function(t,e,r){"use strict";var n=r(37177),i=r(34809),a=r(63821),o=a.EPOCHJD,s=a.ONEDAY,l={valType:"enumerated",values:i.sortObjectKeys(n.calendars),editType:"calc",dflt:"gregorian"},c=function(t,e,r,n){var a={};return a[r]=l,i.coerce(t,e,a,r,n)},u="##",h={d:{0:"dd","-":"d"},e:{0:"d","-":"d"},a:{0:"D","-":"D"},A:{0:"DD","-":"DD"},j:{0:"oo","-":"o"},W:{0:"ww","-":"w"},m:{0:"mm","-":"m"},b:{0:"M","-":"M"},B:{0:"MM","-":"MM"},y:{0:"yy","-":"yy"},Y:{0:"yyyy","-":"yyyy"},U:u,w:u,c:{0:"D M d %X yyyy","-":"D M d %X yyyy"},x:{0:"mm/dd/yyyy","-":"mm/dd/yyyy"}},f={};function p(t){var e=f[t];return e||(f[t]=n.instance(t))}function d(t){return i.extendFlat({},l,{description:t})}function m(t){return"Sets the calendar system to use with `"+t+"` date data."}var g={xcalendar:d(m("x"))},y=i.extendFlat({},g,{ycalendar:d(m("y"))}),v=i.extendFlat({},y,{zcalendar:d(m("z"))}),x=d(["Sets the calendar system to use for `range` and `tick0`","if this is a date axis. This does not set the calendar for","interpreting data on this axis, that's specified in the trace","or via the global `layout.calendar`"].join(" "));t.exports={moduleType:"component",name:"calendars",schema:{traces:{scatter:y,bar:y,box:y,heatmap:y,contour:y,histogram:y,histogram2d:y,histogram2dcontour:y,scatter3d:v,surface:v,mesh3d:v,scattergl:y,ohlc:g,candlestick:g},layout:{calendar:d(["Sets the default calendar system to use for interpreting and","displaying dates throughout the plot."].join(" "))},subplots:{xaxis:{calendar:x},yaxis:{calendar:x},scene:{xaxis:{calendar:x},yaxis:{calendar:x},zaxis:{calendar:x}},polar:{radialaxis:{calendar:x}}},transforms:{filter:{valuecalendar:d(["WARNING: All transforms are deprecated and may be removed from the API in next major version.","Sets the calendar system to use for `value`, if it is a date."].join(" ")),targetcalendar:d(["WARNING: All transforms are deprecated and may be removed from the API in next major version.","Sets the calendar system to use for `target`, if it is an","array of dates. If `target` is a string (eg *x*) we use the","corresponding trace attribute (eg `xcalendar`) if it exists,","even if `targetcalendar` is provided."].join(" "))}}},layoutAttributes:l,handleDefaults:c,handleTraceDefaults:function(t,e,r,n){for(var i=0;i&lt;r.length;i++)c(t,e,r[i]+"calendar",n.calendar)},CANONICAL_SUNDAY:{chinese:"2000-01-02",coptic:"2000-01-03",discworld:"2000-01-03",ethiopian:"2000-01-05",hebrew:"5000-01-01",islamic:"1000-01-02",julian:"2000-01-03",mayan:"5000-01-01",nanakshahi:"1000-01-05",nepali:"2000-01-05",persian:"1000-01-01",jalali:"1000-01-01",taiwan:"1000-01-04",thai:"2000-01-04",ummalqura:"1400-01-06"},CANONICAL_TICK:{chinese:"2</t>
  </si>
  <si>
    <t>00-01-01""</t>
  </si>
  <si>
    <t>coptic:""2000-01-01""</t>
  </si>
  <si>
    <t>discworld:""2000-01-01""</t>
  </si>
  <si>
    <t>ethiopian:""2000-01-01""</t>
  </si>
  <si>
    <t>hebrew:""5000-01-01""</t>
  </si>
  <si>
    <t>islamic:""1000-01-01""</t>
  </si>
  <si>
    <t>julian:""2000-01-01""</t>
  </si>
  <si>
    <t>mayan:""5000-01-01""</t>
  </si>
  <si>
    <t>nanakshahi:""1000-01-01""</t>
  </si>
  <si>
    <t>nepali:""2000-01-01""</t>
  </si>
  <si>
    <t>persian:""1000-01-01""</t>
  </si>
  <si>
    <t>jalali:""1000-01-01""</t>
  </si>
  <si>
    <t>taiwan:""1000-01-01""</t>
  </si>
  <si>
    <t>thai:""2000-01-01""</t>
  </si>
  <si>
    <t>ummalqura:""1400-01-01""}</t>
  </si>
  <si>
    <t>DFLTRANGE:{chinese:[""2000-01-01""</t>
  </si>
  <si>
    <t>2001-01-01""]</t>
  </si>
  <si>
    <t>coptic:[""1700-01-01""</t>
  </si>
  <si>
    <t>1701-01-01""]</t>
  </si>
  <si>
    <t>discworld:[""1800-01-01""</t>
  </si>
  <si>
    <t>1801-01-01""]</t>
  </si>
  <si>
    <t>ethiopian:[""2000-01-01""</t>
  </si>
  <si>
    <t>hebrew:[""5700-01-01""</t>
  </si>
  <si>
    <t>5701-01-01""]</t>
  </si>
  <si>
    <t>islamic:[""1400-01-01""</t>
  </si>
  <si>
    <t>1401-01-01""]</t>
  </si>
  <si>
    <t>julian:[""2000-01-01""</t>
  </si>
  <si>
    <t>mayan:[""5200-01-01""</t>
  </si>
  <si>
    <t>5201-01-01""]</t>
  </si>
  <si>
    <t>nanakshahi:[""0500-01-01""</t>
  </si>
  <si>
    <t>0501-01-01""]</t>
  </si>
  <si>
    <t>nepali:[""2000-01-01""</t>
  </si>
  <si>
    <t>persian:[""1400-01-01""</t>
  </si>
  <si>
    <t>jalali:[""1400-01-01""</t>
  </si>
  <si>
    <t>taiwan:[""0100-01-01""</t>
  </si>
  <si>
    <t>0101-01-01""]</t>
  </si>
  <si>
    <t>thai:[""2500-01-01""</t>
  </si>
  <si>
    <t>2501-01-01""]</t>
  </si>
  <si>
    <t>ummalqura:[""1400-01-01""</t>
  </si>
  <si>
    <t>1401-01-01""]}</t>
  </si>
  <si>
    <t>getCal:p</t>
  </si>
  <si>
    <t>worldCalFmt:function(t</t>
  </si>
  <si>
    <t>e</t>
  </si>
  <si>
    <t>r){for(var n</t>
  </si>
  <si>
    <t>i</t>
  </si>
  <si>
    <t>a</t>
  </si>
  <si>
    <t>l</t>
  </si>
  <si>
    <t>c</t>
  </si>
  <si>
    <t>f=Math.floor((e+.05)/s)+o</t>
  </si>
  <si>
    <t>d=p(r).fromJD(f)</t>
  </si>
  <si>
    <t>m=0;-1!==(m=t.indexOf(""%""</t>
  </si>
  <si>
    <t>m));)""0""===(n=t.charAt(m+1))||""-""===n||""_""===n?(a=3</t>
  </si>
  <si>
    <t>i=t.charAt(m+2)</t>
  </si>
  <si>
    <t>_""===n&amp;&amp;(n=""-"")):(i=n</t>
  </si>
  <si>
    <t>n=""0""</t>
  </si>
  <si>
    <t>a=2)</t>
  </si>
  <si>
    <t>(l=h[i])?(c=l===u?u:d.formatDate(l[n])</t>
  </si>
  <si>
    <t>t=t.substr(0</t>
  </si>
  <si>
    <t>m)+c+t.substr(m+a)</t>
  </si>
  <si>
    <t>m+=c.length):m+=a;return t}}}</t>
  </si>
  <si>
    <t>10229:function(t</t>
  </si>
  <si>
    <t>e){""use strict"";e.defaults=[""#1f77b4""</t>
  </si>
  <si>
    <t>#ff7f0e""</t>
  </si>
  <si>
    <t>#2ca02c""</t>
  </si>
  <si>
    <t>#d62728""</t>
  </si>
  <si>
    <t>#9467bd""</t>
  </si>
  <si>
    <t>#8c564b""</t>
  </si>
  <si>
    <t>#e377c2""</t>
  </si>
  <si>
    <t>#7f7f7f""</t>
  </si>
  <si>
    <t>#bcbd22""</t>
  </si>
  <si>
    <t>#17becf""]</t>
  </si>
  <si>
    <t>e.defaultLine=""#444""</t>
  </si>
  <si>
    <t>e.lightLine=""#eee""</t>
  </si>
  <si>
    <t>e.background=""#fff""</t>
  </si>
  <si>
    <t>e.borderLine=""#BEC8D9""</t>
  </si>
  <si>
    <t>e.lightFraction=1e3/11}</t>
  </si>
  <si>
    <t>78766:function(t</t>
  </si>
  <si>
    <t>r){""use strict"";var n=r(65657)</t>
  </si>
  <si>
    <t>i=r(10721)</t>
  </si>
  <si>
    <t>a=r(87800).isTypedArray</t>
  </si>
  <si>
    <t>o=t.exports={}</t>
  </si>
  <si>
    <t>s=r(10229);o.defaults=s.defaults;var l=o.defaultLine=s.defaultLine;o.lightLine=s.lightLine;var c=o.background=s.background;function u(t){if(i(t)||""string""!=typeof t)return t;var e=t.trim();if(""rgb""!==e.substr(0</t>
  </si>
  <si>
    <t>3))return t;var r=e.match(/^rgba?\s*\(([^()]*)\)$/);if(!r)return t;var n=r[1].trim().split(/\s*[\s</t>
  </si>
  <si>
    <t>]\s*/)</t>
  </si>
  <si>
    <t>a=""a""===e.charAt(3)&amp;&amp;4===n.length;if(!a&amp;&amp;3!==n.length)return t;for(var o=0;o&lt;n.length;o++){if(!n[o].length)return t;if(n[o]=Number(n[o])</t>
  </si>
  <si>
    <t>!(n[o]&gt;=0))return t;if(3===o)n[o]&gt;1&amp;&amp;(n[o]=1);else if(n[o]&gt;=1)return t}var s=Math.round(255*n[0])+""</t>
  </si>
  <si>
    <t xml:space="preserve"> ""+Math.round(255*n[1])+""</t>
  </si>
  <si>
    <t xml:space="preserve"> ""+Math.round(255*n[2]);return a?""rgba(""+s+""</t>
  </si>
  <si>
    <t xml:space="preserve"> ""+n[3]+"")"":""rgb(""+s+"")""}o.tinyRGB=function(t){var e=t.toRgb();return""rgb(""+Math.round(e.r)+""</t>
  </si>
  <si>
    <t xml:space="preserve"> ""+Math.round(e.g)+""</t>
  </si>
  <si>
    <t xml:space="preserve"> ""+Math.round(e.b)+"")""}</t>
  </si>
  <si>
    <t>o.rgb=function(t){return o.tinyRGB(n(t))}</t>
  </si>
  <si>
    <t>o.opacity=function(t){return t?n(t).getAlpha():0}</t>
  </si>
  <si>
    <t>o.addOpacity=function(t</t>
  </si>
  <si>
    <t>e){var r=n(t).toRgb();return""rgba(""+Math.round(r.r)+""</t>
  </si>
  <si>
    <t xml:space="preserve"> ""+Math.round(r.g)+""</t>
  </si>
  <si>
    <t xml:space="preserve"> ""+Math.round(r.b)+""</t>
  </si>
  <si>
    <t xml:space="preserve"> ""+e+"")""}</t>
  </si>
  <si>
    <t>o.combine=function(t</t>
  </si>
  <si>
    <t>e){var r=n(t).toRgb();if(1===r.a)return n(t).toRgbString();var i=n(e||c).toRgb()</t>
  </si>
  <si>
    <t>a=1===i.a?i:{r:255*(1-i.a)+i.r*i.a</t>
  </si>
  <si>
    <t>g:255*(1-i.a)+i.g*i.a</t>
  </si>
  <si>
    <t>b:255*(1-i.a)+i.b*i.a}</t>
  </si>
  <si>
    <t>o={r:a.r*(1-r.a)+r.r*r.a</t>
  </si>
  <si>
    <t>g:a.g*(1-r.a)+r.g*r.a</t>
  </si>
  <si>
    <t>b:a.b*(1-r.a)+r.b*r.a};return n(o).toRgbString()}</t>
  </si>
  <si>
    <t>o.interpolate=function(t</t>
  </si>
  <si>
    <t>r){var i=n(t).toRgb()</t>
  </si>
  <si>
    <t>a=n(e).toRgb()</t>
  </si>
  <si>
    <t>o={r:r*i.r+(1-r)*a.r</t>
  </si>
  <si>
    <t>g:r*i.g+(1-r)*a.g</t>
  </si>
  <si>
    <t>b:r*i.b+(1-r)*a.b};return n(o).toRgbString()}</t>
  </si>
  <si>
    <t>o.contrast=function(t</t>
  </si>
  <si>
    <t>r){var i=n(t);return 1!==i.getAlpha()&amp;&amp;(i=n(o.combine(t</t>
  </si>
  <si>
    <t>c)))</t>
  </si>
  <si>
    <t>(i.isDark()?e?i.lighten(e):c:r?i.darken(r):l).toString()}</t>
  </si>
  <si>
    <t>o.stroke=function(t</t>
  </si>
  <si>
    <t>e){var r=n(e);t.style({stroke:o.tinyRGB(r)</t>
  </si>
  <si>
    <t>stroke-opacity"":r.getAlpha()})}</t>
  </si>
  <si>
    <t>o.fill=function(t</t>
  </si>
  <si>
    <t>e){var r=n(e);t.style({fill:o.tinyRGB(r)</t>
  </si>
  <si>
    <t>fill-opacity"":r.getAlpha()})}</t>
  </si>
  <si>
    <t>o.clean=function(t){if(t&amp;&amp;""object""==typeof t){var e</t>
  </si>
  <si>
    <t>r</t>
  </si>
  <si>
    <t>n</t>
  </si>
  <si>
    <t>s=Object.keys(t);for(e=0;e&lt;s.length;e++)if(i=t[n=s[e]]</t>
  </si>
  <si>
    <t>color""===n.substr(n.length-5))if(Array.isArray(i))for(r=0;r&lt;i.length;r++)i[r]=u(i[r]);else t[n]=u(i);else if(""colorscale""===n.substr(n.length-10)&amp;&amp;Array.isArray(i))for(r=0;r&lt;i.length;r++)Array.isArray(i[r])&amp;&amp;(i[r][1]=u(i[r][1]));else if(Array.isArray(i)){var l=i[0];if(!Array.isArray(l)&amp;&amp;l&amp;&amp;""object""==typeof l)for(r=0;r&lt;i.length;r++)o.clean(i[r])}else i&amp;&amp;""object""==typeof i&amp;&amp;!a(i)&amp;&amp;o.clean(i)}}}</t>
  </si>
  <si>
    <t>25158:function(t</t>
  </si>
  <si>
    <t>r){""use strict"";var n=r(25829)</t>
  </si>
  <si>
    <t>i=r(80337)</t>
  </si>
  <si>
    <t>a=r(93049).extendFlat</t>
  </si>
  <si>
    <t>o=r(13582).overrideAll;t.exports=o({orientation:{valType:""enumerated""</t>
  </si>
  <si>
    <t>values:[""h""</t>
  </si>
  <si>
    <t>v""]</t>
  </si>
  <si>
    <t>dflt:""v""}</t>
  </si>
  <si>
    <t>thicknessmode:{valType:""enumerated""</t>
  </si>
  <si>
    <t>values:[""fraction""</t>
  </si>
  <si>
    <t>pixels""]</t>
  </si>
  <si>
    <t>dflt:""pixels""}</t>
  </si>
  <si>
    <t>thickness:{valType:""number""</t>
  </si>
  <si>
    <t>min:0</t>
  </si>
  <si>
    <t>dflt:30}</t>
  </si>
  <si>
    <t>lenmode:{valType:""enumerated""</t>
  </si>
  <si>
    <t>dflt:""fraction""}</t>
  </si>
  <si>
    <t>len:{valType:""number""</t>
  </si>
  <si>
    <t>dflt:1}</t>
  </si>
  <si>
    <t>x:{valType:""number""}</t>
  </si>
  <si>
    <t>xref:{valType:""enumerated""</t>
  </si>
  <si>
    <t>dflt:""paper""</t>
  </si>
  <si>
    <t>values:[""container""</t>
  </si>
  <si>
    <t>paper""]</t>
  </si>
  <si>
    <t>editType:""layoutstyle""}</t>
  </si>
  <si>
    <t>xanchor:{valType:""enumerated""</t>
  </si>
  <si>
    <t>values:[""left""</t>
  </si>
  <si>
    <t>center""</t>
  </si>
  <si>
    <t>right""]}</t>
  </si>
  <si>
    <t>xpad:{valType:""number""</t>
  </si>
  <si>
    <t>dflt:10}</t>
  </si>
  <si>
    <t>y:{valType:""number""}</t>
  </si>
  <si>
    <t>yref:{valType:""enumerated""</t>
  </si>
  <si>
    <t>yanchor:{valType:""enumerated""</t>
  </si>
  <si>
    <t>values:[""top""</t>
  </si>
  <si>
    <t>middle""</t>
  </si>
  <si>
    <t>bottom""]}</t>
  </si>
  <si>
    <t>ypad:{valType:""number""</t>
  </si>
  <si>
    <t>outlinecolor:n.linecolor</t>
  </si>
  <si>
    <t>outlinewidth:n.linewidth</t>
  </si>
  <si>
    <t>bordercolor:n.linecolor</t>
  </si>
  <si>
    <t>borderwidth:{valType:""number""</t>
  </si>
  <si>
    <t>dflt:0}</t>
  </si>
  <si>
    <t>bgcolor:{valType:""color""</t>
  </si>
  <si>
    <t>dflt:""rgba(0</t>
  </si>
  <si>
    <t>0)""}</t>
  </si>
  <si>
    <t>tickmode:n.minor.tickmode</t>
  </si>
  <si>
    <t>nticks:n.nticks</t>
  </si>
  <si>
    <t>tick0:n.tick0</t>
  </si>
  <si>
    <t>dtick:n.dtick</t>
  </si>
  <si>
    <t>tickvals:n.tickvals</t>
  </si>
  <si>
    <t>ticktext:n.ticktext</t>
  </si>
  <si>
    <t>ticks:a({}</t>
  </si>
  <si>
    <t>n.ticks</t>
  </si>
  <si>
    <t>{dflt:""""})</t>
  </si>
  <si>
    <t>ticklabeloverflow:a({}</t>
  </si>
  <si>
    <t>n.ticklabeloverflow</t>
  </si>
  <si>
    <t>{})</t>
  </si>
  <si>
    <t>ticklabelposition:{valType:""enumerated""</t>
  </si>
  <si>
    <t>values:[""outside""</t>
  </si>
  <si>
    <t>inside""</t>
  </si>
  <si>
    <t>outside top""</t>
  </si>
  <si>
    <t>inside top""</t>
  </si>
  <si>
    <t>outside left""</t>
  </si>
  <si>
    <t>inside left""</t>
  </si>
  <si>
    <t>outside right""</t>
  </si>
  <si>
    <t>inside right""</t>
  </si>
  <si>
    <t>outside bottom""</t>
  </si>
  <si>
    <t>inside bottom""]</t>
  </si>
  <si>
    <t>dflt:""outside""}</t>
  </si>
  <si>
    <t>ticklen:n.ticklen</t>
  </si>
  <si>
    <t>tickwidth:n.tickwidth</t>
  </si>
  <si>
    <t>tickcolor:n.tickcolor</t>
  </si>
  <si>
    <t>ticklabelstep:n.ticklabelstep</t>
  </si>
  <si>
    <t>showticklabels:n.showticklabels</t>
  </si>
  <si>
    <t>labelalias:n.labelalias</t>
  </si>
  <si>
    <t>tickfont:i({})</t>
  </si>
  <si>
    <t>tickangle:n.tickangle</t>
  </si>
  <si>
    <t>tickformat:n.tickformat</t>
  </si>
  <si>
    <t>tickformatstops:n.tickformatstops</t>
  </si>
  <si>
    <t>tickprefix:n.tickprefix</t>
  </si>
  <si>
    <t>showtickprefix:n.showtickprefix</t>
  </si>
  <si>
    <t>ticksuffix:n.ticksuffix</t>
  </si>
  <si>
    <t>showticksuffix:n.showticksuffix</t>
  </si>
  <si>
    <t>separatethousands:n.separatethousands</t>
  </si>
  <si>
    <t>exponentformat:n.exponentformat</t>
  </si>
  <si>
    <t>minexponent:n.minexponent</t>
  </si>
  <si>
    <t>showexponent:n.showexponent</t>
  </si>
  <si>
    <t>title:{text:{valType:""string""}</t>
  </si>
  <si>
    <t>font:i({})</t>
  </si>
  <si>
    <t>side:{valType:""enumerated""</t>
  </si>
  <si>
    <t>values:[""right""</t>
  </si>
  <si>
    <t>top""</t>
  </si>
  <si>
    <t>bottom""]}}</t>
  </si>
  <si>
    <t>_deprecated:{title:{valType:""string""}</t>
  </si>
  <si>
    <t>titlefont:i({})</t>
  </si>
  <si>
    <t>titleside:{valType:""enumerated""</t>
  </si>
  <si>
    <t>bottom""]</t>
  </si>
  <si>
    <t>dflt:""top""}}}</t>
  </si>
  <si>
    <t>colorbars""</t>
  </si>
  <si>
    <t>from-root"")}</t>
  </si>
  <si>
    <t>34554:function(t){""use strict"";t.exports={cn:{colorbar:""colorbar""</t>
  </si>
  <si>
    <t>cbbg:""cbbg""</t>
  </si>
  <si>
    <t>cbfill:""cbfill""</t>
  </si>
  <si>
    <t>cbfills:""cbfills""</t>
  </si>
  <si>
    <t>cbline:""cbline""</t>
  </si>
  <si>
    <t>cblines:""cblines""</t>
  </si>
  <si>
    <t>cbaxis:""cbaxis""</t>
  </si>
  <si>
    <t>cbtitleunshift:""cbtitleunshift""</t>
  </si>
  <si>
    <t>cbtitle:""cbtitle""</t>
  </si>
  <si>
    <t>cboutline:""cboutline""</t>
  </si>
  <si>
    <t>crisp:""crisp""</t>
  </si>
  <si>
    <t>jsPlaceholder:""js-placeholder""}}}</t>
  </si>
  <si>
    <t>42097:function(t</t>
  </si>
  <si>
    <t>r){""use strict"";var n=r(34809)</t>
  </si>
  <si>
    <t>i=r(78032)</t>
  </si>
  <si>
    <t>a=r(22777)</t>
  </si>
  <si>
    <t>o=r(87433)</t>
  </si>
  <si>
    <t>s=r(12036)</t>
  </si>
  <si>
    <t>l=r(54616)</t>
  </si>
  <si>
    <t>c=r(25158);t.exports=function(t</t>
  </si>
  <si>
    <t>r){var u=i.newContainer(e</t>
  </si>
  <si>
    <t>colorbar"")</t>
  </si>
  <si>
    <t>h=t.colorbar||{};function f(t</t>
  </si>
  <si>
    <t>e){return n.coerce(h</t>
  </si>
  <si>
    <t>u</t>
  </si>
  <si>
    <t>t</t>
  </si>
  <si>
    <t>e)}var p=r.margin||{t:0</t>
  </si>
  <si>
    <t>b:0</t>
  </si>
  <si>
    <t>l:0</t>
  </si>
  <si>
    <t>r:0}</t>
  </si>
  <si>
    <t>d=r.width-p.l-p.r</t>
  </si>
  <si>
    <t>m=r.height-p.t-p.b</t>
  </si>
  <si>
    <t>g=""v""===f(""orientation"")</t>
  </si>
  <si>
    <t>y=f(""thicknessmode"");f(""thickness""</t>
  </si>
  <si>
    <t>fraction""===y?30/(g?d:m):30);var v=f(""lenmode"");f(""len""</t>
  </si>
  <si>
    <t>fraction""===v?1:g?m:d);var x</t>
  </si>
  <si>
    <t>_</t>
  </si>
  <si>
    <t>b</t>
  </si>
  <si>
    <t>w=""paper""===f(""yref"")</t>
  </si>
  <si>
    <t>T=""paper""===f(""xref"")</t>
  </si>
  <si>
    <t>k=""left"";g?(b=""middle""</t>
  </si>
  <si>
    <t>k=T?""left"":""right""</t>
  </si>
  <si>
    <t>x=T?1.02:1</t>
  </si>
  <si>
    <t>_=.5):(b=w?""bottom"":""top""</t>
  </si>
  <si>
    <t>k=""center""</t>
  </si>
  <si>
    <t>x=.5</t>
  </si>
  <si>
    <t>_=w?1.02:1)</t>
  </si>
  <si>
    <t>n.coerce(h</t>
  </si>
  <si>
    <t>{x:{valType:""number""</t>
  </si>
  <si>
    <t>min:T?-2:0</t>
  </si>
  <si>
    <t>max:T?3:1</t>
  </si>
  <si>
    <t>dflt:x}}</t>
  </si>
  <si>
    <t>x"")</t>
  </si>
  <si>
    <t>{y:{valType:""number""</t>
  </si>
  <si>
    <t>min:w?-2:0</t>
  </si>
  <si>
    <t>max:w?3:1</t>
  </si>
  <si>
    <t>dflt:_}}</t>
  </si>
  <si>
    <t>y"")</t>
  </si>
  <si>
    <t>f(""xanchor""</t>
  </si>
  <si>
    <t>k)</t>
  </si>
  <si>
    <t>f(""xpad"")</t>
  </si>
  <si>
    <t>f(""yanchor""</t>
  </si>
  <si>
    <t>b)</t>
  </si>
  <si>
    <t>f(""ypad"")</t>
  </si>
  <si>
    <t>n.noneOrAll(h</t>
  </si>
  <si>
    <t>[""x""</t>
  </si>
  <si>
    <t>y""])</t>
  </si>
  <si>
    <t>f(""outlinecolor"")</t>
  </si>
  <si>
    <t>f(""outlinewidth"")</t>
  </si>
  <si>
    <t>f(""bordercolor"")</t>
  </si>
  <si>
    <t>f(""borderwidth"")</t>
  </si>
  <si>
    <t>f(""bgcolor"");var A=n.coerce(h</t>
  </si>
  <si>
    <t>{ticklabelposition:{valType:""enumerated""</t>
  </si>
  <si>
    <t>dflt:""outside""</t>
  </si>
  <si>
    <t>values:g?[""outside""</t>
  </si>
  <si>
    <t>inside bottom""]:[""outside""</t>
  </si>
  <si>
    <t>inside right""]}}</t>
  </si>
  <si>
    <t>ticklabelposition"");f(""ticklabeloverflow""</t>
  </si>
  <si>
    <t>-1!==A.indexOf(""inside"")?""hide past domain"":""hide past div"")</t>
  </si>
  <si>
    <t>a(h</t>
  </si>
  <si>
    <t>f</t>
  </si>
  <si>
    <t>linear"");var M=r.font</t>
  </si>
  <si>
    <t>S={noAutotickangles:!0</t>
  </si>
  <si>
    <t>noTicklabelshift:!0</t>
  </si>
  <si>
    <t>noTicklabelstandoff:!0</t>
  </si>
  <si>
    <t>outerTicks:!1</t>
  </si>
  <si>
    <t>font:M};-1!==A.indexOf(""inside"")&amp;&amp;(S.bgColor=""black"")</t>
  </si>
  <si>
    <t>l(h</t>
  </si>
  <si>
    <t>linear""</t>
  </si>
  <si>
    <t>S)</t>
  </si>
  <si>
    <t>s(h</t>
  </si>
  <si>
    <t>o(h</t>
  </si>
  <si>
    <t>f(""title.text""</t>
  </si>
  <si>
    <t>r._dfltTitle.colorbar);var E=u.showticklabels?u.tickfont:M</t>
  </si>
  <si>
    <t>C=n.extendFlat({}</t>
  </si>
  <si>
    <t>M</t>
  </si>
  <si>
    <t>{family:E.family</t>
  </si>
  <si>
    <t>size:n.bigFont(E.size)});n.coerceFont(f</t>
  </si>
  <si>
    <t>title.font""</t>
  </si>
  <si>
    <t>C)</t>
  </si>
  <si>
    <t>f(""title.side""</t>
  </si>
  <si>
    <t>g?""top"":""right"")}}</t>
  </si>
  <si>
    <t>5881:function(t</t>
  </si>
  <si>
    <t>r){""use strict"";var n=r(45568)</t>
  </si>
  <si>
    <t>i=r(65657)</t>
  </si>
  <si>
    <t>a=r(44122)</t>
  </si>
  <si>
    <t>o=r(33626)</t>
  </si>
  <si>
    <t>s=r(29714)</t>
  </si>
  <si>
    <t>l=r(14751)</t>
  </si>
  <si>
    <t>c=r(34809)</t>
  </si>
  <si>
    <t>u=c.strTranslate</t>
  </si>
  <si>
    <t>h=r(93049).extendFlat</t>
  </si>
  <si>
    <t>f=r(27983)</t>
  </si>
  <si>
    <t>p=r(62203)</t>
  </si>
  <si>
    <t>d=r(78766)</t>
  </si>
  <si>
    <t>m=r(17240)</t>
  </si>
  <si>
    <t>g=r(30635)</t>
  </si>
  <si>
    <t>y=r(65477).flipScale</t>
  </si>
  <si>
    <t>v=r(97655)</t>
  </si>
  <si>
    <t>x=r(40957)</t>
  </si>
  <si>
    <t>_=r(25829)</t>
  </si>
  <si>
    <t>b=r(4530)</t>
  </si>
  <si>
    <t>w=b.LINE_SPACING</t>
  </si>
  <si>
    <t>T=b.FROM_TL</t>
  </si>
  <si>
    <t>k=b.FROM_BR</t>
  </si>
  <si>
    <t>A=r(34554).cn;t.exports={draw:function(t){var e=t._fullLayout._infolayer.selectAll(""g.""+A.colorbar).data(function(t){var e</t>
  </si>
  <si>
    <t>a=t._fullLayout</t>
  </si>
  <si>
    <t>o=t.calcdata</t>
  </si>
  <si>
    <t>s=[];function l(t){return h(t</t>
  </si>
  <si>
    <t>{_fillcolor:null</t>
  </si>
  <si>
    <t>_line:{color:null</t>
  </si>
  <si>
    <t>width:null</t>
  </si>
  <si>
    <t>dash:null}</t>
  </si>
  <si>
    <t>_levels:{start:null</t>
  </si>
  <si>
    <t>end:null</t>
  </si>
  <si>
    <t>size:null}</t>
  </si>
  <si>
    <t>_filllevels:null</t>
  </si>
  <si>
    <t>_fillgradient:null</t>
  </si>
  <si>
    <t>_zrange:null})}function c(){""function""==typeof i.calc?i.calc(t</t>
  </si>
  <si>
    <t>e):(e._fillgradient=r.reversescale?y(r.colorscale):r.colorscale</t>
  </si>
  <si>
    <t>e._zrange=[r[i.min]</t>
  </si>
  <si>
    <t>r[i.max]])}for(var u=0;u&lt;o.length;u++){var f=o[u];if((n=f[0].trace)._module){var p=n._module.colorbar;if(!0===n.visible&amp;&amp;p)for(var d=Array.isArray(p)</t>
  </si>
  <si>
    <t>m=d?p:[p]</t>
  </si>
  <si>
    <t>g=0;g&lt;m.length;g++){var v=(i=m[g]).container;(r=v?n[v]:n)&amp;&amp;r.showscale&amp;&amp;((e=l(r.colorbar))._id=""cb""+n.uid+(d&amp;&amp;v?""-""+v:"""")</t>
  </si>
  <si>
    <t>e._traceIndex=n.index</t>
  </si>
  <si>
    <t>e._propPrefix=(v?v+""."":"""")+""colorbar.""</t>
  </si>
  <si>
    <t>e._meta=n._meta</t>
  </si>
  <si>
    <t>c()</t>
  </si>
  <si>
    <t>s.push(e))}}}for(var x in a._colorAxes)if((r=a[x]).showscale){var _=a._colorAxes[x];(e=l(r.colorbar))._id=""cb""+x</t>
  </si>
  <si>
    <t>e._propPrefix=x+"".colorbar.""</t>
  </si>
  <si>
    <t>e._meta=a._meta</t>
  </si>
  <si>
    <t>i={min:""cmin""</t>
  </si>
  <si>
    <t>max:""cmax""}</t>
  </si>
  <si>
    <t>heatmap""!==_[0]&amp;&amp;(n=_[1]</t>
  </si>
  <si>
    <t>i.calc=n._module.colorbar.calc)</t>
  </si>
  <si>
    <t>s.push(e)}return s}(t)</t>
  </si>
  <si>
    <t>(function(t){return t._id}));e.enter().append(""g"").attr(""class""</t>
  </si>
  <si>
    <t>(function(t){return t._id})).classed(A.colorbar</t>
  </si>
  <si>
    <t>!0)</t>
  </si>
  <si>
    <t>e.each((function(e){var r=n.select(this);c.ensureSingle(r</t>
  </si>
  <si>
    <t>rect""</t>
  </si>
  <si>
    <t>A.cbbg)</t>
  </si>
  <si>
    <t>c.ensureSingle(r</t>
  </si>
  <si>
    <t>g""</t>
  </si>
  <si>
    <t>A.cbfills)</t>
  </si>
  <si>
    <t>A.cblines)</t>
  </si>
  <si>
    <t>A.cbaxis</t>
  </si>
  <si>
    <t>(function(t){t.classed(A.crisp</t>
  </si>
  <si>
    <t>!0)}))</t>
  </si>
  <si>
    <t>A.cbtitleunshift</t>
  </si>
  <si>
    <t>(function(t){t.append(""g"").classed(A.cbtitle</t>
  </si>
  <si>
    <t>A.cboutline);var y=function(t</t>
  </si>
  <si>
    <t>r){var o=""v""===e.orientation</t>
  </si>
  <si>
    <t>l=e.len</t>
  </si>
  <si>
    <t>f=e.lenmode</t>
  </si>
  <si>
    <t>y=e.thickness</t>
  </si>
  <si>
    <t>b=e.thicknessmode</t>
  </si>
  <si>
    <t>M=e.outlinewidth</t>
  </si>
  <si>
    <t>S=e.borderwidth</t>
  </si>
  <si>
    <t>E=e.bgcolor</t>
  </si>
  <si>
    <t>C=e.xanchor</t>
  </si>
  <si>
    <t>L=e.yanchor</t>
  </si>
  <si>
    <t>I=e.xpad</t>
  </si>
  <si>
    <t>P=e.ypad</t>
  </si>
  <si>
    <t>z=e.x</t>
  </si>
  <si>
    <t>O=o?e.y:1-e.y</t>
  </si>
  <si>
    <t>D=""paper""===e.yref</t>
  </si>
  <si>
    <t>R=""paper""===e.xref</t>
  </si>
  <si>
    <t>F=r._fullLayout</t>
  </si>
  <si>
    <t>B=F._size</t>
  </si>
  <si>
    <t>N=e._fillcolor</t>
  </si>
  <si>
    <t>j=e._line</t>
  </si>
  <si>
    <t>U=e.title</t>
  </si>
  <si>
    <t>V=U.side</t>
  </si>
  <si>
    <t>q=e._zrange||n.extent((""function""==typeof N?N:j.color).domain())</t>
  </si>
  <si>
    <t>H=""function""==typeof j.color?j.color:function(){return j.color}</t>
  </si>
  <si>
    <t>G=""function""==typeof N?N:function(){return N}</t>
  </si>
  <si>
    <t>Z=e._levels</t>
  </si>
  <si>
    <t>W=function(t</t>
  </si>
  <si>
    <t>r){var n</t>
  </si>
  <si>
    <t>a=e._levels</t>
  </si>
  <si>
    <t>o=[]</t>
  </si>
  <si>
    <t>s=[]</t>
  </si>
  <si>
    <t>l=a.end+a.size/100</t>
  </si>
  <si>
    <t>c=a.size</t>
  </si>
  <si>
    <t>u=1.001*r[0]-.001*r[1]</t>
  </si>
  <si>
    <t>h=1.001*r[1]-.001*r[0];for(i=0;i&lt;1e5&amp;&amp;(n=a.start+i*c</t>
  </si>
  <si>
    <t>!(c&gt;0?n&gt;=l:n&lt;=l));i++)n&gt;u&amp;&amp;n&lt;h&amp;&amp;o.push(n);if(e._fillgradient)s=[0];else if(""function""==typeof e._fillcolor){var f=e._filllevels;if(f)for(l=f.end+f.size/100</t>
  </si>
  <si>
    <t>c=f.size</t>
  </si>
  <si>
    <t>i=0;i&lt;1e5&amp;&amp;(n=f.start+i*c</t>
  </si>
  <si>
    <t>!(c&gt;0?n&gt;=l:n&lt;=l));i++)n&gt;r[0]&amp;&amp;n&lt;r[1]&amp;&amp;s.push(n);else(s=o.map((function(t){return t-a.size/2}))).push(s[s.length-1]+a.size)}else e._fillcolor&amp;&amp;""string""==typeof e._fillcolor&amp;&amp;(s=[0]);return a.size&lt;0&amp;&amp;(o.reverse()</t>
  </si>
  <si>
    <t>s.reverse())</t>
  </si>
  <si>
    <t>{line:o</t>
  </si>
  <si>
    <t>fill:s}}(0</t>
  </si>
  <si>
    <t>q)</t>
  </si>
  <si>
    <t>Y=W.fill</t>
  </si>
  <si>
    <t>X=W.line</t>
  </si>
  <si>
    <t>$=Math.round(y*(""fraction""===b?o?B.w:B.h:1))</t>
  </si>
  <si>
    <t>J=$/(o?B.w:B.h)</t>
  </si>
  <si>
    <t>K=Math.round(l*(""fraction""===f?o?B.h:B.w:1))</t>
  </si>
  <si>
    <t>Q=K/(o?B.h:B.w)</t>
  </si>
  <si>
    <t>tt=R?B.w:r._fullLayout.width</t>
  </si>
  <si>
    <t>et=D?B.h:r._fullLayout.height</t>
  </si>
  <si>
    <t>rt=Math.round(o?z*tt+I:O*et+P)</t>
  </si>
  <si>
    <t>nt={center:.5</t>
  </si>
  <si>
    <t>right:1}[C]||0</t>
  </si>
  <si>
    <t>it={top:1</t>
  </si>
  <si>
    <t>middle:.5}[L]||0</t>
  </si>
  <si>
    <t>at=o?z-nt*J:O-it*J</t>
  </si>
  <si>
    <t>ot=o?O-it*Q:z-nt*Q</t>
  </si>
  <si>
    <t>st=Math.round(o?et*(1-ot):tt*ot);e._lenFrac=Q</t>
  </si>
  <si>
    <t>e._thickFrac=J</t>
  </si>
  <si>
    <t>e._uFrac=at</t>
  </si>
  <si>
    <t>e._vFrac=ot;var lt=e._axis=function(t</t>
  </si>
  <si>
    <t>r){var n=t._fullLayout</t>
  </si>
  <si>
    <t>i=""v""===e.orientation</t>
  </si>
  <si>
    <t>a={type:""linear""</t>
  </si>
  <si>
    <t>range:r</t>
  </si>
  <si>
    <t>tickmode:e.tickmode</t>
  </si>
  <si>
    <t>nticks:e.nticks</t>
  </si>
  <si>
    <t>tick0:e.tick0</t>
  </si>
  <si>
    <t>dtick:e.dtick</t>
  </si>
  <si>
    <t>tickvals:e.tickvals</t>
  </si>
  <si>
    <t>ticktext:e.ticktext</t>
  </si>
  <si>
    <t>ticks:e.ticks</t>
  </si>
  <si>
    <t>ticklen:e.ticklen</t>
  </si>
  <si>
    <t>tickwidth:e.tickwidth</t>
  </si>
  <si>
    <t>tickcolor:e.tickcolor</t>
  </si>
  <si>
    <t>showticklabels:e.showticklabels</t>
  </si>
  <si>
    <t>labelalias:e.labelalias</t>
  </si>
  <si>
    <t>ticklabelposition:e.ticklabelposition</t>
  </si>
  <si>
    <t>ticklabeloverflow:e.ticklabeloverflow</t>
  </si>
  <si>
    <t>ticklabelstep:e.ticklabelstep</t>
  </si>
  <si>
    <t>tickfont:e.tickfont</t>
  </si>
  <si>
    <t>tickangle:e.tickangle</t>
  </si>
  <si>
    <t>tickformat:e.tickformat</t>
  </si>
  <si>
    <t>exponentformat:e.exponentformat</t>
  </si>
  <si>
    <t>minexponent:e.minexponent</t>
  </si>
  <si>
    <t>separatethousands:e.separatethousands</t>
  </si>
  <si>
    <t>showexponent:e.showexponent</t>
  </si>
  <si>
    <t>showtickprefix:e.showtickprefix</t>
  </si>
  <si>
    <t>tickprefix:e.tickprefix</t>
  </si>
  <si>
    <t>showticksuffix:e.showticksuffix</t>
  </si>
  <si>
    <t>ticksuffix:e.ticksuffix</t>
  </si>
  <si>
    <t>title:e.title</t>
  </si>
  <si>
    <t>showline:!0</t>
  </si>
  <si>
    <t>anchor:""free""</t>
  </si>
  <si>
    <t>side:i?""right"":""bottom""</t>
  </si>
  <si>
    <t>position:1}</t>
  </si>
  <si>
    <t>o=i?""y"":""x""</t>
  </si>
  <si>
    <t>s={type:""linear""</t>
  </si>
  <si>
    <t>_id:o+e._id}</t>
  </si>
  <si>
    <t>l={letter:o</t>
  </si>
  <si>
    <t>font:n.font</t>
  </si>
  <si>
    <t>noAutotickangles:""y""===o</t>
  </si>
  <si>
    <t>noHover:!0</t>
  </si>
  <si>
    <t>noTickson:!0</t>
  </si>
  <si>
    <t>noTicklabelmode:!0</t>
  </si>
  <si>
    <t>noInsideRange:!0</t>
  </si>
  <si>
    <t>calendar:n.calendar};function u(t</t>
  </si>
  <si>
    <t>e){return c.coerce(a</t>
  </si>
  <si>
    <t>s</t>
  </si>
  <si>
    <t>e)}return v(a</t>
  </si>
  <si>
    <t>n)</t>
  </si>
  <si>
    <t>x(a</t>
  </si>
  <si>
    <t>l)</t>
  </si>
  <si>
    <t>s}(r</t>
  </si>
  <si>
    <t>q);lt.position=J+(o?z+I/B.w:O+P/B.h);var ct=-1!==[""top""</t>
  </si>
  <si>
    <t>bottom""].indexOf(V);if(o&amp;&amp;ct&amp;&amp;(lt.title.side=V</t>
  </si>
  <si>
    <t>lt.titlex=z+I/B.w</t>
  </si>
  <si>
    <t>lt.titley=ot+(""top""===U.side?Q-P/B.h:P/B.h))</t>
  </si>
  <si>
    <t>o||ct||(lt.title.side=V</t>
  </si>
  <si>
    <t>lt.titley=O+P/B.h</t>
  </si>
  <si>
    <t>lt.titlex=ot+I/B.w)</t>
  </si>
  <si>
    <t>j.color&amp;&amp;""auto""===e.tickmode){lt.tickmode=""linear""</t>
  </si>
  <si>
    <t>lt.tick0=Z.start;var ut=Z.size</t>
  </si>
  <si>
    <t>ht=c.constrain(K/50</t>
  </si>
  <si>
    <t>15)+1</t>
  </si>
  <si>
    <t>ft=(q[1]-q[0])/((e.nticks||ht)*ut);if(ft&gt;1){var pt=Math.pow(10</t>
  </si>
  <si>
    <t>Math.floor(Math.log(ft)/Math.LN10));ut*=pt*c.roundUp(ft/pt</t>
  </si>
  <si>
    <t>[2</t>
  </si>
  <si>
    <t>10])</t>
  </si>
  <si>
    <t>(Math.abs(Z.start)/Z.size+1e-6)%1&lt;2e-6&amp;&amp;(lt.tick0=0)}lt.dtick=ut}lt.domain=o?[ot+P/B.h</t>
  </si>
  <si>
    <t>ot+Q-P/B.h]:[ot+I/B.w</t>
  </si>
  <si>
    <t>ot+Q-I/B.w]</t>
  </si>
  <si>
    <t>lt.setScale()</t>
  </si>
  <si>
    <t>t.attr(""transform""</t>
  </si>
  <si>
    <t>u(Math.round(B.l)</t>
  </si>
  <si>
    <t>Math.round(B.t)));var dt</t>
  </si>
  <si>
    <t>mt=t.select("".""+A.cbtitleunshift).attr(""transform""</t>
  </si>
  <si>
    <t>u(-Math.round(B.l)</t>
  </si>
  <si>
    <t>-Math.round(B.t)))</t>
  </si>
  <si>
    <t>gt=lt.ticklabelposition</t>
  </si>
  <si>
    <t>yt=lt.title.font.size</t>
  </si>
  <si>
    <t>vt=t.select("".""+A.cbaxis)</t>
  </si>
  <si>
    <t>xt=0</t>
  </si>
  <si>
    <t>_t=0;function bt(n</t>
  </si>
  <si>
    <t>i){var a={propContainer:lt</t>
  </si>
  <si>
    <t>propName:e._propPrefix+""title""</t>
  </si>
  <si>
    <t>traceIndex:e._traceIndex</t>
  </si>
  <si>
    <t>_meta:e._meta</t>
  </si>
  <si>
    <t>placeholder:F._dfltTitle.colorbar</t>
  </si>
  <si>
    <t>containerGroup:t.select("".""+A.cbtitle)}</t>
  </si>
  <si>
    <t>o=""h""===n.charAt(0)?n.substr(1):""h""+n;t.selectAll("".""+o+""</t>
  </si>
  <si>
    <t>.""+o+""-math-group"").remove()</t>
  </si>
  <si>
    <t>m.draw(r</t>
  </si>
  <si>
    <t>h(a</t>
  </si>
  <si>
    <t>i||{}))}return c.syncOrAsync([a.previousPromises</t>
  </si>
  <si>
    <t>function(){var t</t>
  </si>
  <si>
    <t>e;(o&amp;&amp;ct||!o&amp;&amp;!ct)&amp;&amp;(""top""===V&amp;&amp;(t=I+B.l+tt*z</t>
  </si>
  <si>
    <t>e=P+B.t+et*(1-ot-Q)+3+.75*yt)</t>
  </si>
  <si>
    <t>bottom""===V&amp;&amp;(t=I+B.l+tt*z</t>
  </si>
  <si>
    <t>e=P+B.t+et*(1-ot)-3-.25*yt)</t>
  </si>
  <si>
    <t>right""===V&amp;&amp;(e=P+B.t+et*O+3+.75*yt</t>
  </si>
  <si>
    <t>t=I+B.l+tt*ot)</t>
  </si>
  <si>
    <t>bt(lt._id+""title""</t>
  </si>
  <si>
    <t>{attributes:{x:t</t>
  </si>
  <si>
    <t>y:e</t>
  </si>
  <si>
    <t>text-anchor"":o?""start"":""middle""}}))}</t>
  </si>
  <si>
    <t>function(){if(!o&amp;&amp;!ct||o&amp;&amp;ct){var a</t>
  </si>
  <si>
    <t>l=t.select("".""+A.cbtitle)</t>
  </si>
  <si>
    <t>h=l.select(""text"")</t>
  </si>
  <si>
    <t>f=[-M/2</t>
  </si>
  <si>
    <t>M/2]</t>
  </si>
  <si>
    <t>d=l.select("".h""+lt._id+""title-math-group"").node()</t>
  </si>
  <si>
    <t>m=15.6;if(h.node()&amp;&amp;(m=parseInt(h.node().style.fontSize</t>
  </si>
  <si>
    <t>10)*w)</t>
  </si>
  <si>
    <t>d?(a=p.bBox(d)</t>
  </si>
  <si>
    <t>_t=a.width</t>
  </si>
  <si>
    <t>(xt=a.height)&gt;m&amp;&amp;(f[1]-=(xt-m)/2)):h.node()&amp;&amp;!h.classed(A.jsPlaceholder)&amp;&amp;(a=p.bBox(h.node())</t>
  </si>
  <si>
    <t>xt=a.height)</t>
  </si>
  <si>
    <t>o){if(xt){if(xt+=5</t>
  </si>
  <si>
    <t>top""===V)lt.domain[1]-=xt/B.h</t>
  </si>
  <si>
    <t>f[1]*=-1;else{lt.domain[0]+=xt/B.h;var y=g.lineCount(h);f[1]+=(1-y)*m}l.attr(""transform""</t>
  </si>
  <si>
    <t>u(f[0]</t>
  </si>
  <si>
    <t>f[1]))</t>
  </si>
  <si>
    <t>lt.setScale()}}else _t&amp;&amp;(""right""===V&amp;&amp;(lt.domain[0]+=(_t+yt/2)/B.w)</t>
  </si>
  <si>
    <t>l.attr(""transform""</t>
  </si>
  <si>
    <t>lt.setScale())}t.selectAll("".""+A.cbfills+""</t>
  </si>
  <si>
    <t>.""+A.cblines).attr(""transform""</t>
  </si>
  <si>
    <t>o?u(0</t>
  </si>
  <si>
    <t>Math.round(B.h*(1-lt.domain[1]))):u(Math.round(B.w*lt.domain[0])</t>
  </si>
  <si>
    <t>0))</t>
  </si>
  <si>
    <t>vt.attr(""transform""</t>
  </si>
  <si>
    <t>Math.round(-B.t)):u(Math.round(-B.l)</t>
  </si>
  <si>
    <t>0));var v=t.select("".""+A.cbfills).selectAll(""rect.""+A.cbfill).attr(""style""</t>
  </si>
  <si>
    <t>").data(Y);v.enter().append(""rect"").classed(A.cbfill</t>
  </si>
  <si>
    <t>!0).attr(""style""</t>
  </si>
  <si>
    <t>")</t>
  </si>
  <si>
    <t>v.exit().remove();var x=q.map(lt.c2p).map(Math.round).sort((function(t</t>
  </si>
  <si>
    <t>e){return t-e}));v.each((function(t</t>
  </si>
  <si>
    <t>a){var s=[0===a?q[0]:(Y[a]+Y[a-1])/2</t>
  </si>
  <si>
    <t>a===Y.length-1?q[1]:(Y[a]+Y[a+1])/2].map(lt.c2p).map(Math.round);o&amp;&amp;(s[1]=c.constrain(s[1]+(s[1]&gt;s[0])?1:-1</t>
  </si>
  <si>
    <t>x[0]</t>
  </si>
  <si>
    <t>x[1]));var l=n.select(this).attr(o?""x"":""y""</t>
  </si>
  <si>
    <t>rt).attr(o?""y"":""x""</t>
  </si>
  <si>
    <t>n.min(s)).attr(o?""width"":""height""</t>
  </si>
  <si>
    <t>Math.max($</t>
  </si>
  <si>
    <t>2)).attr(o?""height"":""width""</t>
  </si>
  <si>
    <t>Math.max(n.max(s)-n.min(s)</t>
  </si>
  <si>
    <t>2));if(e._fillgradient)p.gradient(l</t>
  </si>
  <si>
    <t>e._id</t>
  </si>
  <si>
    <t>o?""vertical"":""horizontalreversed""</t>
  </si>
  <si>
    <t>e._fillgradient</t>
  </si>
  <si>
    <t>fill"");else{var u=G(t).replace(""e-""</t>
  </si>
  <si>
    <t>");l.attr(""fill""</t>
  </si>
  <si>
    <t>i(u).toHexString())}}));var _=t.select("".""+A.cblines).selectAll(""path.""+A.cbline).data(j.color&amp;&amp;j.width?X:[]);_.enter().append(""path"").classed(A.cbline</t>
  </si>
  <si>
    <t>_.exit().remove()</t>
  </si>
  <si>
    <t>_.each((function(t){var e=rt</t>
  </si>
  <si>
    <t>r=Math.round(lt.c2p(t))+j.width/2%1;n.select(this).attr(""d""</t>
  </si>
  <si>
    <t>M""+(o?e+""</t>
  </si>
  <si>
    <t>+e)+(o?""h"":""v"")+$).call(p.lineGroupStyle</t>
  </si>
  <si>
    <t>j.width</t>
  </si>
  <si>
    <t>H(t)</t>
  </si>
  <si>
    <t>j.dash)}))</t>
  </si>
  <si>
    <t>vt.selectAll(""g.""+lt._id+""tick</t>
  </si>
  <si>
    <t>path"").remove();var b=rt+$+(M||0)/2-(""outside""===e.ticks?1:0)</t>
  </si>
  <si>
    <t>T=s.calcTicks(lt)</t>
  </si>
  <si>
    <t>k=s.getTickSigns(lt)[2];return s.drawTicks(r</t>
  </si>
  <si>
    <t>lt</t>
  </si>
  <si>
    <t>{vals:""inside""===lt.ticks?s.clipEnds(lt</t>
  </si>
  <si>
    <t>T):T</t>
  </si>
  <si>
    <t>layer:vt</t>
  </si>
  <si>
    <t>path:s.makeTickPath(lt</t>
  </si>
  <si>
    <t>transFn:s.makeTransTickFn(lt)})</t>
  </si>
  <si>
    <t>s.drawLabels(r</t>
  </si>
  <si>
    <t>{vals:T</t>
  </si>
  <si>
    <t>transFn:s.makeTransTickLabelFn(lt)</t>
  </si>
  <si>
    <t>labelFns:s.makeLabelFns(lt</t>
  </si>
  <si>
    <t>b)})}</t>
  </si>
  <si>
    <t>function(){if(o&amp;&amp;!ct||!o&amp;&amp;ct){var t</t>
  </si>
  <si>
    <t>a=lt.position||0</t>
  </si>
  <si>
    <t>s=lt._offset+lt._length/2;if(""right""===V)i=s</t>
  </si>
  <si>
    <t>t=B.l+tt*a+10+yt*(lt.showticklabels?1:.5);else if(t=s</t>
  </si>
  <si>
    <t>bottom""===V&amp;&amp;(i=B.t+et*a+10+(-1===gt.indexOf(""inside"")?lt.tickfont.size:0)+(""intside""!==lt.ticks&amp;&amp;e.ticklen||0))</t>
  </si>
  <si>
    <t>top""===V){var l=U.text.split(""&lt;br&gt;"").length;i=B.t+et*a+10-$-w*yt*l}bt((o?""h"":""v"")+lt._id+""title""</t>
  </si>
  <si>
    <t>{avoid:{selection:n.select(r).selectAll(""g.""+lt._id+""tick"")</t>
  </si>
  <si>
    <t>side:V</t>
  </si>
  <si>
    <t>offsetTop:o?0:B.t</t>
  </si>
  <si>
    <t>offsetLeft:o?B.l:0</t>
  </si>
  <si>
    <t>maxShift:o?F.width:F.height}</t>
  </si>
  <si>
    <t>attributes:{x:t</t>
  </si>
  <si>
    <t>y:i</t>
  </si>
  <si>
    <t>text-anchor"":""middle""}</t>
  </si>
  <si>
    <t>transform:{rotate:o?-90:0</t>
  </si>
  <si>
    <t>offset:0}})}}</t>
  </si>
  <si>
    <t>a.previousPromises</t>
  </si>
  <si>
    <t>function(){var n</t>
  </si>
  <si>
    <t>s=$+M/2;-1===gt.indexOf(""inside"")&amp;&amp;(n=p.bBox(vt.node())</t>
  </si>
  <si>
    <t>s+=o?n.width:n.height)</t>
  </si>
  <si>
    <t>dt=mt.select(""text"");var c=0</t>
  </si>
  <si>
    <t>h=o&amp;&amp;""top""===V</t>
  </si>
  <si>
    <t>m=!o&amp;&amp;""right""===V</t>
  </si>
  <si>
    <t>g=0;if(dt.node()&amp;&amp;!dt.classed(A.jsPlaceholder)){var v</t>
  </si>
  <si>
    <t>x=mt.select("".h""+lt._id+""title-math-group"").node();x&amp;&amp;(o&amp;&amp;ct||!o&amp;&amp;!ct)?(c=(n=p.bBox(x)).width</t>
  </si>
  <si>
    <t>v=n.height):(c=(n=p.bBox(mt.node())).right-B.l-(o?rt:st)</t>
  </si>
  <si>
    <t>v=n.bottom-B.t-(o?st:rt)</t>
  </si>
  <si>
    <t>o||""top""!==V||(s+=n.height</t>
  </si>
  <si>
    <t>g=n.height))</t>
  </si>
  <si>
    <t>m&amp;&amp;(dt.attr(""transform""</t>
  </si>
  <si>
    <t>u(c/2+yt/2</t>
  </si>
  <si>
    <t>c*=2)</t>
  </si>
  <si>
    <t>s=Math.max(s</t>
  </si>
  <si>
    <t>o?c:v)}var _=2*(o?I:P)+s+S+M/2</t>
  </si>
  <si>
    <t>w=0;!o&amp;&amp;U.text&amp;&amp;""bottom""===L&amp;&amp;O&lt;=0&amp;&amp;(_+=w=_/2</t>
  </si>
  <si>
    <t>g+=w)</t>
  </si>
  <si>
    <t>F._hColorbarMoveTitle=w</t>
  </si>
  <si>
    <t>F._hColorbarMoveCBTitle=g;var N=S+M</t>
  </si>
  <si>
    <t>j=(o?rt:st)-N/2-(o?I:0)</t>
  </si>
  <si>
    <t>q=(o?st:rt)-(o?K:P+g-w);t.select("".""+A.cbbg).attr(""x""</t>
  </si>
  <si>
    <t>j).attr(""y""</t>
  </si>
  <si>
    <t>q).attr(o?""width"":""height""</t>
  </si>
  <si>
    <t>Math.max(_-w</t>
  </si>
  <si>
    <t>Math.max(K+N</t>
  </si>
  <si>
    <t>2)).call(d.fill</t>
  </si>
  <si>
    <t>E).call(d.stroke</t>
  </si>
  <si>
    <t>e.bordercolor).style(""stroke-width""</t>
  </si>
  <si>
    <t>S);var H=m?Math.max(c-10</t>
  </si>
  <si>
    <t>0):0;t.selectAll("".""+A.cboutline).attr(""x""</t>
  </si>
  <si>
    <t>(o?rt:st+I)+H).attr(""y""</t>
  </si>
  <si>
    <t>(o?st+P-K:rt)+(h?xt:0)).attr(o?""width"":""height""</t>
  </si>
  <si>
    <t>Math.max(K-(o?2*P+xt:2*I+H)</t>
  </si>
  <si>
    <t>2)).call(d.stroke</t>
  </si>
  <si>
    <t>e.outlinecolor).style({fill:""none""</t>
  </si>
  <si>
    <t>stroke-width"":M});var G=o?nt*_:0</t>
  </si>
  <si>
    <t>Z=o?0:(1-it)*_-g;if(G=R?B.l-G:-G</t>
  </si>
  <si>
    <t>Z=D?B.t-Z:-Z</t>
  </si>
  <si>
    <t>u(G</t>
  </si>
  <si>
    <t>Z))</t>
  </si>
  <si>
    <t>!o&amp;&amp;(S||i(E).getAlpha()&amp;&amp;!i.equals(F.paper_bgcolor</t>
  </si>
  <si>
    <t>E))){var W=vt.selectAll(""text"")</t>
  </si>
  <si>
    <t>Y=W[0].length</t>
  </si>
  <si>
    <t>X=t.select("".""+A.cbbg).node()</t>
  </si>
  <si>
    <t>J=p.bBox(X)</t>
  </si>
  <si>
    <t>Q=p.getTranslate(t);W.each((function(t</t>
  </si>
  <si>
    <t>e){var r=Y-1;if(0===e||e===r){var n</t>
  </si>
  <si>
    <t>i=p.bBox(this)</t>
  </si>
  <si>
    <t>a=p.getTranslate(this);if(e===r){var o=i.right+a.x;(n=J.right+Q.x+st-S-2+z-o)&gt;0&amp;&amp;(n=0)}else if(0===e){var s=i.left+a.x;(n=J.left+Q.x+st+S+2-s)&lt;0&amp;&amp;(n=0)}n&amp;&amp;(Y&lt;3?this.setAttribute(""transform""</t>
  </si>
  <si>
    <t>translate(""+n+""</t>
  </si>
  <si>
    <t>0) ""+this.getAttribute(""transform"")):this.setAttribute(""visibility""</t>
  </si>
  <si>
    <t>hidden""))}}))}var tt={}</t>
  </si>
  <si>
    <t>et=T[C]</t>
  </si>
  <si>
    <t>at=k[C]</t>
  </si>
  <si>
    <t>ot=T[L]</t>
  </si>
  <si>
    <t>ut=k[L]</t>
  </si>
  <si>
    <t>ht=_-$;o?(""pixels""===f?(tt.y=O</t>
  </si>
  <si>
    <t>tt.t=K*ot</t>
  </si>
  <si>
    <t>tt.b=K*ut):(tt.t=tt.b=0</t>
  </si>
  <si>
    <t>tt.yt=O+l*ot</t>
  </si>
  <si>
    <t>tt.yb=O-l*ut)</t>
  </si>
  <si>
    <t>pixels""===b?(tt.x=z</t>
  </si>
  <si>
    <t>tt.l=_*et</t>
  </si>
  <si>
    <t>tt.r=_*at):(tt.l=ht*et</t>
  </si>
  <si>
    <t>tt.r=ht*at</t>
  </si>
  <si>
    <t>tt.xl=z-y*et</t>
  </si>
  <si>
    <t>tt.xr=z+y*at)):(""pixels""===f?(tt.x=z</t>
  </si>
  <si>
    <t>tt.l=K*et</t>
  </si>
  <si>
    <t>tt.r=K*at):(tt.l=tt.r=0</t>
  </si>
  <si>
    <t>tt.xl=z+l*et</t>
  </si>
  <si>
    <t>tt.xr=z-l*at)</t>
  </si>
  <si>
    <t>pixels""===b?(tt.y=1-O</t>
  </si>
  <si>
    <t>tt.t=_*ot</t>
  </si>
  <si>
    <t>tt.b=_*ut):(tt.t=ht*ot</t>
  </si>
  <si>
    <t>tt.b=ht*ut</t>
  </si>
  <si>
    <t>tt.yt=O-y*ot</t>
  </si>
  <si>
    <t>tt.yb=O+y*ut));var ft=e.y&lt;.5?""b"":""t""</t>
  </si>
  <si>
    <t>pt=e.x&lt;.5?""l"":""r"";r._fullLayout._reservedMargin[e._id]={};var _t={r:F.width-j-G</t>
  </si>
  <si>
    <t>l:j+tt.r</t>
  </si>
  <si>
    <t>b:F.height-q-Z</t>
  </si>
  <si>
    <t>t:q+tt.b};R&amp;&amp;D?a.autoMargin(r</t>
  </si>
  <si>
    <t>tt):R?r._fullLayout._reservedMargin[e._id][ft]=_t[ft]:D||o?r._fullLayout._reservedMargin[e._id][pt]=_t[pt]:r._fullLayout._reservedMargin[e._id][ft]=_t[ft]}]</t>
  </si>
  <si>
    <t>r)}(r</t>
  </si>
  <si>
    <t>t);y&amp;&amp;y.then&amp;&amp;(t._promises||[]).push(y)</t>
  </si>
  <si>
    <t>t._context.edits.colorbarPosition&amp;&amp;function(t</t>
  </si>
  <si>
    <t>s=""v""===e.orientation</t>
  </si>
  <si>
    <t>c=r._fullLayout._size;l.init({element:t.node()</t>
  </si>
  <si>
    <t>gd:r</t>
  </si>
  <si>
    <t>prepFn:function(){n=t.attr(""transform"")</t>
  </si>
  <si>
    <t>f(t)}</t>
  </si>
  <si>
    <t>moveFn:function(r</t>
  </si>
  <si>
    <t>o){t.attr(""transform""</t>
  </si>
  <si>
    <t>n+u(r</t>
  </si>
  <si>
    <t>o))</t>
  </si>
  <si>
    <t>i=l.align((s?e._uFrac:e._vFrac)+r/c.w</t>
  </si>
  <si>
    <t>s?e._thickFrac:e._lenFrac</t>
  </si>
  <si>
    <t>e.xanchor)</t>
  </si>
  <si>
    <t>a=l.align((s?e._vFrac:1-e._uFrac)-o/c.h</t>
  </si>
  <si>
    <t>s?e._lenFrac:e._thickFrac</t>
  </si>
  <si>
    <t>e.yanchor);var h=l.getCursor(i</t>
  </si>
  <si>
    <t>e.xanchor</t>
  </si>
  <si>
    <t>e.yanchor);f(t</t>
  </si>
  <si>
    <t>h)}</t>
  </si>
  <si>
    <t>doneFn:function(){if(f(t)</t>
  </si>
  <si>
    <t>void 0!==i&amp;&amp;void 0!==a){var n={};n[e._propPrefix+""x""]=i</t>
  </si>
  <si>
    <t>n[e._propPrefix+""y""]=a</t>
  </si>
  <si>
    <t>void 0!==e._traceIndex?o.call(""_guiRestyle""</t>
  </si>
  <si>
    <t>e._traceIndex):o.call(""_guiRelayout""</t>
  </si>
  <si>
    <t>n)}}})}(r</t>
  </si>
  <si>
    <t>t)}))</t>
  </si>
  <si>
    <t>e.exit().each((function(e){a.autoMargin(t</t>
  </si>
  <si>
    <t>e._id)})).remove()</t>
  </si>
  <si>
    <t>e.order()}}}</t>
  </si>
  <si>
    <t>91362:function(t</t>
  </si>
  <si>
    <t>r){""use strict"";var n=r(34809);t.exports=function(t){return n.isPlainObject(t.colorbar)}}</t>
  </si>
  <si>
    <t>96919:function(t</t>
  </si>
  <si>
    <t>r){""use strict"";t.exports={moduleType:""component""</t>
  </si>
  <si>
    <t>name:""colorbar""</t>
  </si>
  <si>
    <t>attributes:r(25158)</t>
  </si>
  <si>
    <t>supplyDefaults:r(42097)</t>
  </si>
  <si>
    <t>draw:r(5881).draw</t>
  </si>
  <si>
    <t>hasColorbar:r(91362)}}</t>
  </si>
  <si>
    <t>87163:function(t</t>
  </si>
  <si>
    <t>r){""use strict"";var n=r(25158)</t>
  </si>
  <si>
    <t>i=r(90694).counter</t>
  </si>
  <si>
    <t>a=r(62994)</t>
  </si>
  <si>
    <t>o=r(19017).scales;function s(t){return""`""+t+""`""}a(o)</t>
  </si>
  <si>
    <t>t.exports=function(t</t>
  </si>
  <si>
    <t>e){t=t||"""";var r</t>
  </si>
  <si>
    <t>a=(e=e||{}).cLetter||""c""</t>
  </si>
  <si>
    <t>l=(""onlyIfNumerical""in e?e.onlyIfNumerical:Boolean(t)</t>
  </si>
  <si>
    <t>noScale""in e?e.noScale:""marker.line""===t)</t>
  </si>
  <si>
    <t>c=""showScaleDflt""in e?e.showScaleDflt:""z""===a</t>
  </si>
  <si>
    <t>u=""string""==typeof e.colorscaleDflt?o[e.colorscaleDflt]:null</t>
  </si>
  <si>
    <t>h=e.editTypeOverride||""""</t>
  </si>
  <si>
    <t>f=t?t+""."":"""";""colorAttr""in e?(r=e.colorAttr</t>
  </si>
  <si>
    <t>e.colorAttr):s(f+(r={z:""z""</t>
  </si>
  <si>
    <t>c:""color""}[a]));var p=a+""auto""</t>
  </si>
  <si>
    <t>d=a+""min""</t>
  </si>
  <si>
    <t>m=a+""max""</t>
  </si>
  <si>
    <t>g=a+""mid""</t>
  </si>
  <si>
    <t>y=(s(f+p)</t>
  </si>
  <si>
    <t>s(f+d)</t>
  </si>
  <si>
    <t>s(f+m)</t>
  </si>
  <si>
    <t>{});y[d]=y[m]=void 0;var v={};v[p]=!1;var x={};return""color""===r&amp;&amp;(x.color={valType:""color""</t>
  </si>
  <si>
    <t>arrayOk:!0</t>
  </si>
  <si>
    <t>editType:h||""style""}</t>
  </si>
  <si>
    <t>e.anim&amp;&amp;(x.color.anim=!0))</t>
  </si>
  <si>
    <t>x[p]={valType:""boolean""</t>
  </si>
  <si>
    <t>dflt:!0</t>
  </si>
  <si>
    <t>editType:""calc""</t>
  </si>
  <si>
    <t>impliedEdits:y}</t>
  </si>
  <si>
    <t>x[d]={valType:""number""</t>
  </si>
  <si>
    <t>dflt:null</t>
  </si>
  <si>
    <t>editType:h||""plot""</t>
  </si>
  <si>
    <t>impliedEdits:v}</t>
  </si>
  <si>
    <t>x[m]={valType:""number""</t>
  </si>
  <si>
    <t>x[g]={valType:""number""</t>
  </si>
  <si>
    <t>x.colorscale={valType:""colorscale""</t>
  </si>
  <si>
    <t>dflt:u</t>
  </si>
  <si>
    <t>impliedEdits:{autocolorscale:!1}}</t>
  </si>
  <si>
    <t>x.autocolorscale={valType:""boolean""</t>
  </si>
  <si>
    <t>dflt:!1!==e.autoColorDflt</t>
  </si>
  <si>
    <t>impliedEdits:{colorscale:void 0}}</t>
  </si>
  <si>
    <t>x.reversescale={valType:""boolean""</t>
  </si>
  <si>
    <t>dflt:!1</t>
  </si>
  <si>
    <t>editType:""plot""}</t>
  </si>
  <si>
    <t>l||(x.showscale={valType:""boolean""</t>
  </si>
  <si>
    <t>dflt:c</t>
  </si>
  <si>
    <t>editType:""calc""}</t>
  </si>
  <si>
    <t>x.colorbar=n)</t>
  </si>
  <si>
    <t>e.noColorAxis||(x.coloraxis={valType:""subplotid""</t>
  </si>
  <si>
    <t>regex:i(""coloraxis"")</t>
  </si>
  <si>
    <t>editType:""calc""})</t>
  </si>
  <si>
    <t>x}}</t>
  </si>
  <si>
    <t>28379:function(t</t>
  </si>
  <si>
    <t>r){""use strict"";var n=r(10721)</t>
  </si>
  <si>
    <t>i=r(34809)</t>
  </si>
  <si>
    <t>a=r(65477).extractOpts;t.exports=function(t</t>
  </si>
  <si>
    <t>r){var o</t>
  </si>
  <si>
    <t>s=t._fullLayout</t>
  </si>
  <si>
    <t>l=r.vals</t>
  </si>
  <si>
    <t>c=r.containerStr</t>
  </si>
  <si>
    <t>u=c?i.nestedProperty(e</t>
  </si>
  <si>
    <t>c).get():e</t>
  </si>
  <si>
    <t>h=a(u)</t>
  </si>
  <si>
    <t>f=!1!==h.auto</t>
  </si>
  <si>
    <t>p=h.min</t>
  </si>
  <si>
    <t>d=h.max</t>
  </si>
  <si>
    <t>m=h.mid</t>
  </si>
  <si>
    <t>g=function(){return i.aggNums(Math.min</t>
  </si>
  <si>
    <t>null</t>
  </si>
  <si>
    <t>l)}</t>
  </si>
  <si>
    <t>y=function(){return i.aggNums(Math.max</t>
  </si>
  <si>
    <t>l)};void 0===p?p=g():f&amp;&amp;(p=u._colorAx&amp;&amp;n(p)?Math.min(p</t>
  </si>
  <si>
    <t>g()):g())</t>
  </si>
  <si>
    <t>void 0===d?d=y():f&amp;&amp;(d=u._colorAx&amp;&amp;n(d)?Math.max(d</t>
  </si>
  <si>
    <t>y()):y())</t>
  </si>
  <si>
    <t>f&amp;&amp;void 0!==m&amp;&amp;(d-m&gt;m-p?p=m-(d-m):d-m&lt;m-p&amp;&amp;(d=m+(m-p)))</t>
  </si>
  <si>
    <t>p===d&amp;&amp;(p-=.5</t>
  </si>
  <si>
    <t>d+=.5)</t>
  </si>
  <si>
    <t>h._sync(""min""</t>
  </si>
  <si>
    <t>p)</t>
  </si>
  <si>
    <t>h._sync(""max""</t>
  </si>
  <si>
    <t>d)</t>
  </si>
  <si>
    <t>h.autocolorscale&amp;&amp;(o=p*d&lt;0?s.colorscale.diverging:p&gt;=0?s.colorscale.sequential:s.colorscale.sequentialminus</t>
  </si>
  <si>
    <t>h._sync(""colorscale""</t>
  </si>
  <si>
    <t>o))}}</t>
  </si>
  <si>
    <t>67623:function(t</t>
  </si>
  <si>
    <t>i=r(65477).hasColorscale</t>
  </si>
  <si>
    <t>e){function r(t</t>
  </si>
  <si>
    <t>e){var r=t[""_""+e];void 0!==r&amp;&amp;(t[e]=r)}function o(t</t>
  </si>
  <si>
    <t>i){var o=i.container?n.nestedProperty(t</t>
  </si>
  <si>
    <t>i.container).get():t;if(o)if(o.coloraxis)o._colorAx=e[o.coloraxis];else{var s=a(o)</t>
  </si>
  <si>
    <t>l=s.auto;(l||void 0===s.min)&amp;&amp;r(o</t>
  </si>
  <si>
    <t>i.min)</t>
  </si>
  <si>
    <t>(l||void 0===s.max)&amp;&amp;r(o</t>
  </si>
  <si>
    <t>i.max)</t>
  </si>
  <si>
    <t>s.autocolorscale&amp;&amp;r(o</t>
  </si>
  <si>
    <t>colorscale"")}}for(var s=0;s&lt;t.length;s++){var l=t[s]</t>
  </si>
  <si>
    <t>c=l._module.colorbar;if(c)if(Array.isArray(c))for(var u=0;u&lt;c.length;u++)o(l</t>
  </si>
  <si>
    <t>c[u]);else o(l</t>
  </si>
  <si>
    <t>c);i(l</t>
  </si>
  <si>
    <t>marker.line"")&amp;&amp;o(l</t>
  </si>
  <si>
    <t>{container:""marker.line""</t>
  </si>
  <si>
    <t>min:""cmin""</t>
  </si>
  <si>
    <t>max:""cmax""})}for(var h in e._colorAxes)o(e[h]</t>
  </si>
  <si>
    <t>{min:""cmin""</t>
  </si>
  <si>
    <t>max:""cmax""})}}</t>
  </si>
  <si>
    <t>39356:function(t</t>
  </si>
  <si>
    <t>a=r(91362)</t>
  </si>
  <si>
    <t>o=r(42097)</t>
  </si>
  <si>
    <t>s=r(19017).isValid</t>
  </si>
  <si>
    <t>l=r(33626).traceIs;function c(t</t>
  </si>
  <si>
    <t>e){var r=e.slice(0</t>
  </si>
  <si>
    <t>e.length-1);return e?i.nestedProperty(t</t>
  </si>
  <si>
    <t>r).get()||{}:t}t.exports=function t(e</t>
  </si>
  <si>
    <t>h</t>
  </si>
  <si>
    <t>f){var p=f.prefix</t>
  </si>
  <si>
    <t>d=f.cLetter</t>
  </si>
  <si>
    <t>m=""_module""in r</t>
  </si>
  <si>
    <t>g=c(e</t>
  </si>
  <si>
    <t>y=c(r</t>
  </si>
  <si>
    <t>v=c(r._template||{}</t>
  </si>
  <si>
    <t>p)||{}</t>
  </si>
  <si>
    <t>x=function(){return delete e.coloraxis</t>
  </si>
  <si>
    <t>delete r.coloraxis</t>
  </si>
  <si>
    <t>t(e</t>
  </si>
  <si>
    <t>f)};if(m){var _=u._colorAxes||{}</t>
  </si>
  <si>
    <t>b=h(p+""coloraxis"");if(b){var w=l(r</t>
  </si>
  <si>
    <t>contour"")&amp;&amp;i.nestedProperty(r</t>
  </si>
  <si>
    <t>contours.coloring"").get()||""heatmap""</t>
  </si>
  <si>
    <t>T=_[b];return void(T?(T[2].push(x)</t>
  </si>
  <si>
    <t>T[0]!==w&amp;&amp;(T[0]=!1</t>
  </si>
  <si>
    <t>i.warn([""Ignoring coloraxis:""</t>
  </si>
  <si>
    <t>setting""</t>
  </si>
  <si>
    <t>as it is linked to incompatible colorscales.""].join("" "")))):_[b]=[w</t>
  </si>
  <si>
    <t>[x]])}}var k=g[d+""min""]</t>
  </si>
  <si>
    <t>A=g[d+""max""]</t>
  </si>
  <si>
    <t>M=n(k)&amp;&amp;n(A)&amp;&amp;k&lt;A;h(p+d+""auto""</t>
  </si>
  <si>
    <t>!M)?h(p+d+""mid""):(h(p+d+""min"")</t>
  </si>
  <si>
    <t>h(p+d+""max""));var S</t>
  </si>
  <si>
    <t>E</t>
  </si>
  <si>
    <t>C=g.colorscale</t>
  </si>
  <si>
    <t>L=v.colorscale;void 0!==C&amp;&amp;(S=!s(C))</t>
  </si>
  <si>
    <t>void 0!==L&amp;&amp;(S=!s(L))</t>
  </si>
  <si>
    <t>h(p+""autocolorscale""</t>
  </si>
  <si>
    <t>h(p+""colorscale"")</t>
  </si>
  <si>
    <t>h(p+""reversescale"")</t>
  </si>
  <si>
    <t>marker.line.""!==p&amp;&amp;(p&amp;&amp;m&amp;&amp;(E=a(g))</t>
  </si>
  <si>
    <t>h(p+""showscale""</t>
  </si>
  <si>
    <t>E)&amp;&amp;(p&amp;&amp;v&amp;&amp;(y._template=v)</t>
  </si>
  <si>
    <t>o(g</t>
  </si>
  <si>
    <t>y</t>
  </si>
  <si>
    <t>u)))}}</t>
  </si>
  <si>
    <t>65477:function(t</t>
  </si>
  <si>
    <t>a=r(10721)</t>
  </si>
  <si>
    <t>o=r(34809)</t>
  </si>
  <si>
    <t>s=r(78766)</t>
  </si>
  <si>
    <t>l=r(19017).isValid</t>
  </si>
  <si>
    <t>c=[""showscale""</t>
  </si>
  <si>
    <t>autocolorscale""</t>
  </si>
  <si>
    <t>colorscale""</t>
  </si>
  <si>
    <t>reversescale""</t>
  </si>
  <si>
    <t>colorbar""]</t>
  </si>
  <si>
    <t>u=[""min""</t>
  </si>
  <si>
    <t>max""</t>
  </si>
  <si>
    <t>mid""</t>
  </si>
  <si>
    <t>auto""];function h(t){var e</t>
  </si>
  <si>
    <t>i=t._colorAx</t>
  </si>
  <si>
    <t>a=i||t</t>
  </si>
  <si>
    <t>o={};for(r=0;r&lt;c.length;r++)o[n=c[r]]=a[n];if(i)for(e=""c""</t>
  </si>
  <si>
    <t>r=0;r&lt;u.length;r++)o[n=u[r]]=a[""c""+n];else{var s;for(r=0;r&lt;u.length;r++)((s=""c""+(n=u[r]))in a||(s=""z""+n)in a)&amp;&amp;(o[n]=a[s]);e=s.charAt(0)}return o._sync=function(t</t>
  </si>
  <si>
    <t>r){var n=-1!==u.indexOf(t)?e+t:t;a[n]=a[""_""+n]=r}</t>
  </si>
  <si>
    <t>o}function f(t){for(var e=h(t)</t>
  </si>
  <si>
    <t>r=e.min</t>
  </si>
  <si>
    <t>n=e.max</t>
  </si>
  <si>
    <t>i=e.reversescale?p(e.colorscale):e.colorscale</t>
  </si>
  <si>
    <t>a=i.length</t>
  </si>
  <si>
    <t>o=new Array(a)</t>
  </si>
  <si>
    <t>s=new Array(a)</t>
  </si>
  <si>
    <t>l=0;l&lt;a;l++){var c=i[l];o[l]=r+c[0]*(n-r)</t>
  </si>
  <si>
    <t>s[l]=c[1]}return{domain:o</t>
  </si>
  <si>
    <t>range:s}}function p(t){for(var e=t.length</t>
  </si>
  <si>
    <t>r=new Array(e)</t>
  </si>
  <si>
    <t>n=e-1</t>
  </si>
  <si>
    <t>i=0;n&gt;=0;n--</t>
  </si>
  <si>
    <t>i++){var a=t[n];r[i]=[1-a[0]</t>
  </si>
  <si>
    <t>a[1]]}return r}function d(t</t>
  </si>
  <si>
    <t>e){e=e||{};for(var r=t.domain</t>
  </si>
  <si>
    <t>o=t.range</t>
  </si>
  <si>
    <t>l=o.length</t>
  </si>
  <si>
    <t>c=new Array(l)</t>
  </si>
  <si>
    <t>u=0;u&lt;l;u++){var h=i(o[u]).toRgb();c[u]=[h.r</t>
  </si>
  <si>
    <t>h.g</t>
  </si>
  <si>
    <t>h.b</t>
  </si>
  <si>
    <t>h.a]}var f</t>
  </si>
  <si>
    <t>p=n.scale.linear().domain(r).range(c).clamp(!0)</t>
  </si>
  <si>
    <t>d=e.noNumericCheck</t>
  </si>
  <si>
    <t>g=e.returnArray;return(f=d&amp;&amp;g?p:d?function(t){return m(p(t))}:g?function(t){return a(t)?p(t):i(t).isValid()?t:s.defaultLine}:function(t){return a(t)?m(p(t)):i(t).isValid()?t:s.defaultLine}).domain=p.domain</t>
  </si>
  <si>
    <t>f.range=function(){return o}</t>
  </si>
  <si>
    <t>f}function m(t){var e={r:t[0]</t>
  </si>
  <si>
    <t>g:t[1]</t>
  </si>
  <si>
    <t>b:t[2]</t>
  </si>
  <si>
    <t>a:t[3]};return i(e).toRgbString()}t.exports={hasColorscale:function(t</t>
  </si>
  <si>
    <t>r){var n=e?o.nestedProperty(t</t>
  </si>
  <si>
    <t>e).get()||{}:t</t>
  </si>
  <si>
    <t>i=n[r||""color""];i&amp;&amp;i._inputArray&amp;&amp;(i=i._inputArray);var s=!1;if(o.isArrayOrTypedArray(i))for(var c=0;c&lt;i.length;c++)if(a(i[c])){s=!0;break}return o.isPlainObject(n)&amp;&amp;(s||!0===n.showscale||a(n.cmin)&amp;&amp;a(n.cmax)||l(n.colorscale)||o.isPlainObject(n.colorbar))}</t>
  </si>
  <si>
    <t>extractOpts:h</t>
  </si>
  <si>
    <t>extractScale:f</t>
  </si>
  <si>
    <t>flipScale:p</t>
  </si>
  <si>
    <t>makeColorScaleFunc:d</t>
  </si>
  <si>
    <t>makeColorScaleFuncFromTrace:function(t</t>
  </si>
  <si>
    <t>e){return d(f(t)</t>
  </si>
  <si>
    <t>e)}}}</t>
  </si>
  <si>
    <t>88856:function(t</t>
  </si>
  <si>
    <t>r){""use strict"";var n=r(19017)</t>
  </si>
  <si>
    <t>i=r(65477);t.exports={moduleType:""component""</t>
  </si>
  <si>
    <t>name:""colorscale""</t>
  </si>
  <si>
    <t>attributes:r(87163)</t>
  </si>
  <si>
    <t>layoutAttributes:r(56978)</t>
  </si>
  <si>
    <t>supplyLayoutDefaults:r(64613)</t>
  </si>
  <si>
    <t>handleDefaults:r(39356)</t>
  </si>
  <si>
    <t>crossTraceDefaults:r(67623)</t>
  </si>
  <si>
    <t>calc:r(28379)</t>
  </si>
  <si>
    <t>scales:n.scales</t>
  </si>
  <si>
    <t>defaultScale:n.defaultScale</t>
  </si>
  <si>
    <t>getScale:n.get</t>
  </si>
  <si>
    <t>isValidScale:n.isValid</t>
  </si>
  <si>
    <t>hasColorscale:i.hasColorscale</t>
  </si>
  <si>
    <t>extractOpts:i.extractOpts</t>
  </si>
  <si>
    <t>extractScale:i.extractScale</t>
  </si>
  <si>
    <t>flipScale:i.flipScale</t>
  </si>
  <si>
    <t>makeColorScaleFunc:i.makeColorScaleFunc</t>
  </si>
  <si>
    <t>makeColorScaleFuncFromTrace:i.makeColorScaleFuncFromTrace}}</t>
  </si>
  <si>
    <t>56978:function(t</t>
  </si>
  <si>
    <t>r){""use strict"";var n=r(93049).extendFlat</t>
  </si>
  <si>
    <t>i=r(87163)</t>
  </si>
  <si>
    <t>a=r(19017).scales;t.exports={editType:""calc""</t>
  </si>
  <si>
    <t>colorscale:{editType:""calc""</t>
  </si>
  <si>
    <t>sequential:{valType:""colorscale""</t>
  </si>
  <si>
    <t>dflt:a.Reds</t>
  </si>
  <si>
    <t>sequentialminus:{valType:""colorscale""</t>
  </si>
  <si>
    <t>dflt:a.Blues</t>
  </si>
  <si>
    <t>diverging:{valType:""colorscale""</t>
  </si>
  <si>
    <t>dflt:a.RdBu</t>
  </si>
  <si>
    <t>editType:""calc""}}</t>
  </si>
  <si>
    <t>coloraxis:n({_isSubplotObj:!0</t>
  </si>
  <si>
    <t>i(""""</t>
  </si>
  <si>
    <t>{colorAttr:""corresponding trace color array(s)""</t>
  </si>
  <si>
    <t>noColorAxis:!0</t>
  </si>
  <si>
    <t>showScaleDflt:!0}))}}</t>
  </si>
  <si>
    <t>64613:function(t</t>
  </si>
  <si>
    <t>a=r(56978)</t>
  </si>
  <si>
    <t>o=r(39356);t.exports=function(t</t>
  </si>
  <si>
    <t>e){function r(r</t>
  </si>
  <si>
    <t>i){return n.coerce(t</t>
  </si>
  <si>
    <t>i)}r(""colorscale.sequential"")</t>
  </si>
  <si>
    <t>r(""colorscale.sequentialminus"")</t>
  </si>
  <si>
    <t>r(""colorscale.diverging"");var s</t>
  </si>
  <si>
    <t>c=e._colorAxes;function u(t</t>
  </si>
  <si>
    <t>e){return n.coerce(s</t>
  </si>
  <si>
    <t>a.coloraxis</t>
  </si>
  <si>
    <t>e)}for(var h in c){var f=c[h];if(f[0])s=t[h]||{}</t>
  </si>
  <si>
    <t>(l=i.newContainer(e</t>
  </si>
  <si>
    <t>coloraxis""))._name=h</t>
  </si>
  <si>
    <t>o(s</t>
  </si>
  <si>
    <t>{prefix:""""</t>
  </si>
  <si>
    <t>cLetter:""c""});else{for(var p=0;p&lt;f[2].length;p++)f[2][p]();delete e._colorAxes[h]}}}}</t>
  </si>
  <si>
    <t>19017:function(t</t>
  </si>
  <si>
    <t>i={Greys:[[0</t>
  </si>
  <si>
    <t>rgb(0</t>
  </si>
  <si>
    <t>0)""]</t>
  </si>
  <si>
    <t>[1</t>
  </si>
  <si>
    <t>rgb(255</t>
  </si>
  <si>
    <t>255)""]]</t>
  </si>
  <si>
    <t>YlGnBu:[[0</t>
  </si>
  <si>
    <t>rgb(8</t>
  </si>
  <si>
    <t>88)""]</t>
  </si>
  <si>
    <t>[.125</t>
  </si>
  <si>
    <t>rgb(37</t>
  </si>
  <si>
    <t>148)""]</t>
  </si>
  <si>
    <t>[.25</t>
  </si>
  <si>
    <t>rgb(34</t>
  </si>
  <si>
    <t>168)""]</t>
  </si>
  <si>
    <t>[.375</t>
  </si>
  <si>
    <t>rgb(29</t>
  </si>
  <si>
    <t>192)""]</t>
  </si>
  <si>
    <t>[.5</t>
  </si>
  <si>
    <t>rgb(65</t>
  </si>
  <si>
    <t>196)""]</t>
  </si>
  <si>
    <t>[.625</t>
  </si>
  <si>
    <t>rgb(127</t>
  </si>
  <si>
    <t>187)""]</t>
  </si>
  <si>
    <t>[.75</t>
  </si>
  <si>
    <t>rgb(199</t>
  </si>
  <si>
    <t>180)""]</t>
  </si>
  <si>
    <t>[.875</t>
  </si>
  <si>
    <t>rgb(237</t>
  </si>
  <si>
    <t>217)""]</t>
  </si>
  <si>
    <t>217)""]]</t>
  </si>
  <si>
    <t>Greens:[[0</t>
  </si>
  <si>
    <t>27)""]</t>
  </si>
  <si>
    <t>44)""]</t>
  </si>
  <si>
    <t>rgb(35</t>
  </si>
  <si>
    <t>69)""]</t>
  </si>
  <si>
    <t>93)""]</t>
  </si>
  <si>
    <t>rgb(116</t>
  </si>
  <si>
    <t>118)""]</t>
  </si>
  <si>
    <t>rgb(161</t>
  </si>
  <si>
    <t>155)""]</t>
  </si>
  <si>
    <t>rgb(229</t>
  </si>
  <si>
    <t>224)""]</t>
  </si>
  <si>
    <t>rgb(247</t>
  </si>
  <si>
    <t>245)""]]</t>
  </si>
  <si>
    <t>YlOrRd:[[0</t>
  </si>
  <si>
    <t>rgb(128</t>
  </si>
  <si>
    <t>38)""]</t>
  </si>
  <si>
    <t>rgb(189</t>
  </si>
  <si>
    <t>rgb(227</t>
  </si>
  <si>
    <t>28)""]</t>
  </si>
  <si>
    <t>rgb(252</t>
  </si>
  <si>
    <t>42)""]</t>
  </si>
  <si>
    <t>rgb(253</t>
  </si>
  <si>
    <t>60)""]</t>
  </si>
  <si>
    <t>rgb(254</t>
  </si>
  <si>
    <t>76)""]</t>
  </si>
  <si>
    <t>160)""]</t>
  </si>
  <si>
    <t>204)""]]</t>
  </si>
  <si>
    <t>Bluered:[[0</t>
  </si>
  <si>
    <t>255)""]</t>
  </si>
  <si>
    <t>0)""]]</t>
  </si>
  <si>
    <t>RdBu:[[0</t>
  </si>
  <si>
    <t>rgb(5</t>
  </si>
  <si>
    <t>172)""]</t>
  </si>
  <si>
    <t>[.35</t>
  </si>
  <si>
    <t>rgb(106</t>
  </si>
  <si>
    <t>247)""]</t>
  </si>
  <si>
    <t>rgb(190</t>
  </si>
  <si>
    <t>190)""]</t>
  </si>
  <si>
    <t>[.6</t>
  </si>
  <si>
    <t>rgb(220</t>
  </si>
  <si>
    <t>132)""]</t>
  </si>
  <si>
    <t>[.7</t>
  </si>
  <si>
    <t>rgb(230</t>
  </si>
  <si>
    <t>90)""]</t>
  </si>
  <si>
    <t>rgb(178</t>
  </si>
  <si>
    <t>28)""]]</t>
  </si>
  <si>
    <t>Reds:[[0</t>
  </si>
  <si>
    <t>220)""]</t>
  </si>
  <si>
    <t>[.2</t>
  </si>
  <si>
    <t>rgb(245</t>
  </si>
  <si>
    <t>157)""]</t>
  </si>
  <si>
    <t>[.4</t>
  </si>
  <si>
    <t>105)""]</t>
  </si>
  <si>
    <t>Blues:[[0</t>
  </si>
  <si>
    <t>rgb(40</t>
  </si>
  <si>
    <t>rgb(70</t>
  </si>
  <si>
    <t>245)""]</t>
  </si>
  <si>
    <t>rgb(90</t>
  </si>
  <si>
    <t>220)""]]</t>
  </si>
  <si>
    <t>Picnic:[[0</t>
  </si>
  <si>
    <t>[.1</t>
  </si>
  <si>
    <t>rgb(51</t>
  </si>
  <si>
    <t>rgb(102</t>
  </si>
  <si>
    <t>[.3</t>
  </si>
  <si>
    <t>rgb(153</t>
  </si>
  <si>
    <t>rgb(204</t>
  </si>
  <si>
    <t>[.8</t>
  </si>
  <si>
    <t>204)""]</t>
  </si>
  <si>
    <t>[.9</t>
  </si>
  <si>
    <t>102)""]</t>
  </si>
  <si>
    <t>Rainbow:[[0</t>
  </si>
  <si>
    <t>rgb(150</t>
  </si>
  <si>
    <t>200)""]</t>
  </si>
  <si>
    <t>rgb(44</t>
  </si>
  <si>
    <t>150)""]</t>
  </si>
  <si>
    <t>rgb(151</t>
  </si>
  <si>
    <t>Portland:[[0</t>
  </si>
  <si>
    <t>rgb(12</t>
  </si>
  <si>
    <t>131)""]</t>
  </si>
  <si>
    <t>rgb(10</t>
  </si>
  <si>
    <t>186)""]</t>
  </si>
  <si>
    <t>rgb(242</t>
  </si>
  <si>
    <t>56)""]</t>
  </si>
  <si>
    <t>rgb(217</t>
  </si>
  <si>
    <t>30)""]]</t>
  </si>
  <si>
    <t>Jet:[[0</t>
  </si>
  <si>
    <t>170)""]</t>
  </si>
  <si>
    <t>rgb(250</t>
  </si>
  <si>
    <t>Hot:[[0</t>
  </si>
  <si>
    <t>Blackbody:[[0</t>
  </si>
  <si>
    <t>rgb(160</t>
  </si>
  <si>
    <t>Earth:[[0</t>
  </si>
  <si>
    <t>130)""]</t>
  </si>
  <si>
    <t>40)""]</t>
  </si>
  <si>
    <t>50)""]</t>
  </si>
  <si>
    <t>rgb(120</t>
  </si>
  <si>
    <t>20)""]</t>
  </si>
  <si>
    <t>Electric:[[0</t>
  </si>
  <si>
    <t>[.15</t>
  </si>
  <si>
    <t>rgb(30</t>
  </si>
  <si>
    <t>100)""]</t>
  </si>
  <si>
    <t>Viridis:[[0</t>
  </si>
  <si>
    <t>#440154""]</t>
  </si>
  <si>
    <t>[.06274509803921569</t>
  </si>
  <si>
    <t>#48186a""]</t>
  </si>
  <si>
    <t>[.12549019607843137</t>
  </si>
  <si>
    <t>#472d7b""]</t>
  </si>
  <si>
    <t>[.18823529411764706</t>
  </si>
  <si>
    <t>#424086""]</t>
  </si>
  <si>
    <t>[.25098039215686274</t>
  </si>
  <si>
    <t>#3b528b""]</t>
  </si>
  <si>
    <t>[.3137254901960784</t>
  </si>
  <si>
    <t>#33638d""]</t>
  </si>
  <si>
    <t>[.3764705882352941</t>
  </si>
  <si>
    <t>#2c728e""]</t>
  </si>
  <si>
    <t>[.4392156862745098</t>
  </si>
  <si>
    <t>#26828e""]</t>
  </si>
  <si>
    <t>[.5019607843137255</t>
  </si>
  <si>
    <t>#21918c""]</t>
  </si>
  <si>
    <t>[.5647058823529412</t>
  </si>
  <si>
    <t>#1fa088""]</t>
  </si>
  <si>
    <t>[.6274509803921569</t>
  </si>
  <si>
    <t>#28ae80""]</t>
  </si>
  <si>
    <t>[.6901960784313725</t>
  </si>
  <si>
    <t>#3fbc73""]</t>
  </si>
  <si>
    <t>[.7529411764705882</t>
  </si>
  <si>
    <t>#5ec962""]</t>
  </si>
  <si>
    <t>[.8156862745098039</t>
  </si>
  <si>
    <t>#84d44b""]</t>
  </si>
  <si>
    <t>[.8784313725490196</t>
  </si>
  <si>
    <t>#addc30""]</t>
  </si>
  <si>
    <t>[.9411764705882353</t>
  </si>
  <si>
    <t>#d8e219""]</t>
  </si>
  <si>
    <t>#fde725""]]</t>
  </si>
  <si>
    <t>Cividis:[[0</t>
  </si>
  <si>
    <t>[.058824</t>
  </si>
  <si>
    <t>[.117647</t>
  </si>
  <si>
    <t>110)""]</t>
  </si>
  <si>
    <t>[.176471</t>
  </si>
  <si>
    <t>rgb(39</t>
  </si>
  <si>
    <t>108)""]</t>
  </si>
  <si>
    <t>[.235294</t>
  </si>
  <si>
    <t>rgb(60</t>
  </si>
  <si>
    <t>107)""]</t>
  </si>
  <si>
    <t>[.294118</t>
  </si>
  <si>
    <t>rgb(76</t>
  </si>
  <si>
    <t>[.352941</t>
  </si>
  <si>
    <t>rgb(91</t>
  </si>
  <si>
    <t>109)""]</t>
  </si>
  <si>
    <t>[.411765</t>
  </si>
  <si>
    <t>rgb(104</t>
  </si>
  <si>
    <t>112)""]</t>
  </si>
  <si>
    <t>[.470588</t>
  </si>
  <si>
    <t>rgb(117</t>
  </si>
  <si>
    <t>117)""]</t>
  </si>
  <si>
    <t>[.529412</t>
  </si>
  <si>
    <t>rgb(131</t>
  </si>
  <si>
    <t>120)""]</t>
  </si>
  <si>
    <t>[.588235</t>
  </si>
  <si>
    <t>rgb(146</t>
  </si>
  <si>
    <t>[.647059</t>
  </si>
  <si>
    <t>[.705882</t>
  </si>
  <si>
    <t>rgb(176</t>
  </si>
  <si>
    <t>114)""]</t>
  </si>
  <si>
    <t>[.764706</t>
  </si>
  <si>
    <t>rgb(192</t>
  </si>
  <si>
    <t>[.823529</t>
  </si>
  <si>
    <t>rgb(209</t>
  </si>
  <si>
    <t>[.882353</t>
  </si>
  <si>
    <t>rgb(225</t>
  </si>
  <si>
    <t>92)""]</t>
  </si>
  <si>
    <t>[.941176</t>
  </si>
  <si>
    <t>rgb(243</t>
  </si>
  <si>
    <t>79)""]</t>
  </si>
  <si>
    <t>69)""]]}</t>
  </si>
  <si>
    <t>a=i.RdBu;function o(t){var e=0;if(!Array.isArray(t)||t.length&lt;2)return!1;if(!t[0]||!t[t.length-1])return!1;if(0!=+t[0][0]||1!=+t[t.length-1][0])return!1;for(var r=0;r&lt;t.length;r++){var i=t[r];if(2!==i.length||+i[0]&lt;e||!n(i[1]).isValid())return!1;e=+i[0]}return!0}t.exports={scales:i</t>
  </si>
  <si>
    <t>defaultScale:a</t>
  </si>
  <si>
    <t>get:function(t</t>
  </si>
  <si>
    <t>e){if(e||(e=a)</t>
  </si>
  <si>
    <t>!t)return e;function r(){try{t=i[t]||JSON.parse(t)}catch(r){t=e}}return""string""==typeof t&amp;&amp;(r()</t>
  </si>
  <si>
    <t>string""==typeof t&amp;&amp;r())</t>
  </si>
  <si>
    <t>o(t)?t:e}</t>
  </si>
  <si>
    <t>isValid:function(t){return void 0!==i[t]||o(t)}}}</t>
  </si>
  <si>
    <t>53770:function(t){""use strict"";t.exports=function(t</t>
  </si>
  <si>
    <t>i){var a=(t-r)/(n-r)</t>
  </si>
  <si>
    <t>o=a+e/(n-r)</t>
  </si>
  <si>
    <t>s=(a+o)/2;return""left""===i||""bottom""===i?a:""center""===i||""middle""===i?s:""right""===i||""top""===i?o:a&lt;2/3-s?a:o&gt;4/3-s?o:s}}</t>
  </si>
  <si>
    <t>4001:function(t</t>
  </si>
  <si>
    <t>i=[[""sw-resize""</t>
  </si>
  <si>
    <t>s-resize""</t>
  </si>
  <si>
    <t>se-resize""]</t>
  </si>
  <si>
    <t>[""w-resize""</t>
  </si>
  <si>
    <t>move""</t>
  </si>
  <si>
    <t>e-resize""]</t>
  </si>
  <si>
    <t>[""nw-resize""</t>
  </si>
  <si>
    <t>n-resize""</t>
  </si>
  <si>
    <t>ne-resize""]];t.exports=function(t</t>
  </si>
  <si>
    <t>a){return t=""left""===r?0:""center""===r?1:""right""===r?2:n.constrain(Math.floor(3*t)</t>
  </si>
  <si>
    <t>2)</t>
  </si>
  <si>
    <t>e=""bottom""===a?0:""middle""===a?1:""top""===a?2:n.constrain(Math.floor(3*e)</t>
  </si>
  <si>
    <t>i[e][t]}}</t>
  </si>
  <si>
    <t>70414:function(t</t>
  </si>
  <si>
    <t>e){""use strict"";e.selectMode=function(t){return""lasso""===t||""select""===t}</t>
  </si>
  <si>
    <t>e.drawMode=function(t){return""drawclosedpath""===t||""drawopenpath""===t||""drawline""===t||""drawrect""===t||""drawcircle""===t}</t>
  </si>
  <si>
    <t>e.openMode=function(t){return""drawline""===t||""drawopenpath""===t}</t>
  </si>
  <si>
    <t>e.rectMode=function(t){return""select""===t||""drawline""===t||""drawrect""===t||""drawcircle""===t}</t>
  </si>
  <si>
    <t>e.freeMode=function(t){return""lasso""===t||""drawclosedpath""===t||""drawopenpath""===t}</t>
  </si>
  <si>
    <t>e.selectingOrDrawing=function(t){return e.freeMode(t)||e.rectMode(t)}}</t>
  </si>
  <si>
    <t>14751:function(t</t>
  </si>
  <si>
    <t>r){""use strict"";var n=r(44039)</t>
  </si>
  <si>
    <t>i=r(39784)</t>
  </si>
  <si>
    <t>a=r(74043)</t>
  </si>
  <si>
    <t>o=r(34809).removeElement</t>
  </si>
  <si>
    <t>s=r(54826)</t>
  </si>
  <si>
    <t>l=t.exports={};l.align=r(53770)</t>
  </si>
  <si>
    <t>l.getCursor=r(4001);var c=r(60148);function u(){var t=document.createElement(""div"");t.className=""dragcover"";var e=t.style;return e.position=""fixed""</t>
  </si>
  <si>
    <t>e.left=0</t>
  </si>
  <si>
    <t>e.right=0</t>
  </si>
  <si>
    <t>e.top=0</t>
  </si>
  <si>
    <t>e.bottom=0</t>
  </si>
  <si>
    <t>e.zIndex=999999999</t>
  </si>
  <si>
    <t>e.background=""none""</t>
  </si>
  <si>
    <t>document.body.appendChild(t)</t>
  </si>
  <si>
    <t>t}function h(t){return n(t.changedTouches?t.changedTouches[0]:t</t>
  </si>
  <si>
    <t>document.body)}l.unhover=c.wrapped</t>
  </si>
  <si>
    <t>l.unhoverRaw=c.raw</t>
  </si>
  <si>
    <t>l.init=function(t){var e</t>
  </si>
  <si>
    <t>p</t>
  </si>
  <si>
    <t>d</t>
  </si>
  <si>
    <t>m</t>
  </si>
  <si>
    <t>g=t.gd</t>
  </si>
  <si>
    <t>y=1</t>
  </si>
  <si>
    <t>v=g._context.doubleClickDelay</t>
  </si>
  <si>
    <t>x=t.element;g._mouseDownTime||(g._mouseDownTime=0)</t>
  </si>
  <si>
    <t>x.style.pointerEvents=""all""</t>
  </si>
  <si>
    <t>x.onmousedown=b</t>
  </si>
  <si>
    <t>a?(x._ontouchstart&amp;&amp;x.removeEventListener(""touchstart""</t>
  </si>
  <si>
    <t>x._ontouchstart)</t>
  </si>
  <si>
    <t>x._ontouchstart=b</t>
  </si>
  <si>
    <t>x.addEventListener(""touchstart""</t>
  </si>
  <si>
    <t>{passive:!1})):x.ontouchstart=b;var _=t.clampFn||function(t</t>
  </si>
  <si>
    <t>r){return Math.abs(t)&lt;r&amp;&amp;(t=0)</t>
  </si>
  <si>
    <t>Math.abs(e)&lt;r&amp;&amp;(e=0)</t>
  </si>
  <si>
    <t>[t</t>
  </si>
  <si>
    <t>e]};function b(a){g._dragged=!1</t>
  </si>
  <si>
    <t>g._dragging=!0;var o=h(a);e=o[0]</t>
  </si>
  <si>
    <t>r=o[1]</t>
  </si>
  <si>
    <t>d=a.target</t>
  </si>
  <si>
    <t>p=a</t>
  </si>
  <si>
    <t>m=2===a.buttons||a.ctrlKey</t>
  </si>
  <si>
    <t>void 0===a.clientX&amp;&amp;void 0===a.clientY&amp;&amp;(a.clientX=e</t>
  </si>
  <si>
    <t>a.clientY=r)</t>
  </si>
  <si>
    <t>(n=(new Date).getTime())-g._mouseDownTime&lt;v?y+=1:(y=1</t>
  </si>
  <si>
    <t>g._mouseDownTime=n)</t>
  </si>
  <si>
    <t>t.prepFn&amp;&amp;t.prepFn(a</t>
  </si>
  <si>
    <t>r)</t>
  </si>
  <si>
    <t>i&amp;&amp;!m?(f=u()).style.cursor=window.getComputedStyle(x).cursor:i||(f=document</t>
  </si>
  <si>
    <t>c=window.getComputedStyle(document.documentElement).cursor</t>
  </si>
  <si>
    <t>document.documentElement.style.cursor=window.getComputedStyle(x).cursor)</t>
  </si>
  <si>
    <t>document.addEventListener(""mouseup""</t>
  </si>
  <si>
    <t>T)</t>
  </si>
  <si>
    <t>document.addEventListener(""touchend""</t>
  </si>
  <si>
    <t>!1!==t.dragmode&amp;&amp;(a.preventDefault()</t>
  </si>
  <si>
    <t>document.addEventListener(""mousemove""</t>
  </si>
  <si>
    <t>w)</t>
  </si>
  <si>
    <t>document.addEventListener(""touchmove""</t>
  </si>
  <si>
    <t>w</t>
  </si>
  <si>
    <t>{passive:!1}))}function w(n){n.preventDefault();var i=h(n)</t>
  </si>
  <si>
    <t>a=t.minDrag||s.MINDRAG</t>
  </si>
  <si>
    <t>o=_(i[0]-e</t>
  </si>
  <si>
    <t>i[1]-r</t>
  </si>
  <si>
    <t>a)</t>
  </si>
  <si>
    <t>c=o[0]</t>
  </si>
  <si>
    <t>u=o[1];(c||u)&amp;&amp;(g._dragged=!0</t>
  </si>
  <si>
    <t>l.unhover(g</t>
  </si>
  <si>
    <t>n))</t>
  </si>
  <si>
    <t>g._dragged&amp;&amp;t.moveFn&amp;&amp;!m&amp;&amp;(g._dragdata={element:x</t>
  </si>
  <si>
    <t>dx:c</t>
  </si>
  <si>
    <t>dy:u}</t>
  </si>
  <si>
    <t>t.moveFn(c</t>
  </si>
  <si>
    <t>u))}function T(e){if(delete g._dragdata</t>
  </si>
  <si>
    <t>!1!==t.dragmode&amp;&amp;(e.preventDefault()</t>
  </si>
  <si>
    <t>document.removeEventListener(""mousemove""</t>
  </si>
  <si>
    <t>document.removeEventListener(""touchmove""</t>
  </si>
  <si>
    <t>w))</t>
  </si>
  <si>
    <t>document.removeEventListener(""mouseup""</t>
  </si>
  <si>
    <t>document.removeEventListener(""touchend""</t>
  </si>
  <si>
    <t>i?o(f):c&amp;&amp;(f.documentElement.style.cursor=c</t>
  </si>
  <si>
    <t>c=null)</t>
  </si>
  <si>
    <t>g._dragging){if(g._dragging=!1</t>
  </si>
  <si>
    <t>(new Date).getTime()-g._mouseDownTime&gt;v&amp;&amp;(y=Math.max(y-1</t>
  </si>
  <si>
    <t>1))</t>
  </si>
  <si>
    <t>g._dragged)t.doneFn&amp;&amp;t.doneFn();else if(t.clickFn&amp;&amp;t.clickFn(y</t>
  </si>
  <si>
    <t>!m){var r;try{r=new MouseEvent(""click""</t>
  </si>
  <si>
    <t>e)}catch(t){var n=h(e);(r=document.createEvent(""MouseEvents"")).initMouseEvent(""click""</t>
  </si>
  <si>
    <t>e.bubbles</t>
  </si>
  <si>
    <t>e.cancelable</t>
  </si>
  <si>
    <t>e.view</t>
  </si>
  <si>
    <t>e.detail</t>
  </si>
  <si>
    <t>e.screenX</t>
  </si>
  <si>
    <t>e.screenY</t>
  </si>
  <si>
    <t>n[0]</t>
  </si>
  <si>
    <t>n[1]</t>
  </si>
  <si>
    <t>e.ctrlKey</t>
  </si>
  <si>
    <t>e.altKey</t>
  </si>
  <si>
    <t>e.shiftKey</t>
  </si>
  <si>
    <t>e.metaKey</t>
  </si>
  <si>
    <t>e.button</t>
  </si>
  <si>
    <t>e.relatedTarget)}d.dispatchEvent(r)}g._dragging=!1</t>
  </si>
  <si>
    <t>g._dragged=!1}else g._dragged=!1}}</t>
  </si>
  <si>
    <t>l.coverSlip=u}</t>
  </si>
  <si>
    <t>60148:function(t</t>
  </si>
  <si>
    <t>r){""use strict"";var n=r(68596)</t>
  </si>
  <si>
    <t>i=r(64025)</t>
  </si>
  <si>
    <t>a=r(95425).getGraphDiv</t>
  </si>
  <si>
    <t>o=r(85988)</t>
  </si>
  <si>
    <t>s=t.exports={};s.wrapped=function(t</t>
  </si>
  <si>
    <t>r){(t=a(t))._fullLayout&amp;&amp;i.clear(t._fullLayout._uid+o.HOVERID)</t>
  </si>
  <si>
    <t>s.raw(t</t>
  </si>
  <si>
    <t>r)}</t>
  </si>
  <si>
    <t>s.raw=function(t</t>
  </si>
  <si>
    <t>e){var r=t._fullLayout</t>
  </si>
  <si>
    <t>i=t._hoverdata;e||(e={})</t>
  </si>
  <si>
    <t>e.target&amp;&amp;!t._dragged&amp;&amp;!1===n.triggerHandler(t</t>
  </si>
  <si>
    <t>plotly_beforehover""</t>
  </si>
  <si>
    <t>e)||(r._hoverlayer.selectAll(""g"").remove()</t>
  </si>
  <si>
    <t>r._hoverlayer.selectAll(""line"").remove()</t>
  </si>
  <si>
    <t>r._hoverlayer.selectAll(""circle"").remove()</t>
  </si>
  <si>
    <t>t._hoverdata=void 0</t>
  </si>
  <si>
    <t>e.target&amp;&amp;i&amp;&amp;t.emit(""plotly_unhover""</t>
  </si>
  <si>
    <t>{event:e</t>
  </si>
  <si>
    <t>points:i}))}}</t>
  </si>
  <si>
    <t>94850:function(t</t>
  </si>
  <si>
    <t>e){""use strict"";e.T={valType:""string""</t>
  </si>
  <si>
    <t>values:[""solid""</t>
  </si>
  <si>
    <t>dot""</t>
  </si>
  <si>
    <t>dash""</t>
  </si>
  <si>
    <t>longdash""</t>
  </si>
  <si>
    <t>dashdot""</t>
  </si>
  <si>
    <t>longdashdot""]</t>
  </si>
  <si>
    <t>dflt:""solid""</t>
  </si>
  <si>
    <t>editType:""style""}</t>
  </si>
  <si>
    <t>e.k={shape:{valType:""enumerated""</t>
  </si>
  <si>
    <t>values:[""""</t>
  </si>
  <si>
    <t>/""</t>
  </si>
  <si>
    <t>\\""</t>
  </si>
  <si>
    <t>x""</t>
  </si>
  <si>
    <t>|""</t>
  </si>
  <si>
    <t>.""]</t>
  </si>
  <si>
    <t>dflt:""""</t>
  </si>
  <si>
    <t>fillmode:{valType:""enumerated""</t>
  </si>
  <si>
    <t>values:[""replace""</t>
  </si>
  <si>
    <t>overlay""]</t>
  </si>
  <si>
    <t>dflt:""replace""</t>
  </si>
  <si>
    <t>fgcolor:{valType:""color""</t>
  </si>
  <si>
    <t>fgopacity:{valType:""number""</t>
  </si>
  <si>
    <t>editType:""style""</t>
  </si>
  <si>
    <t>max:1}</t>
  </si>
  <si>
    <t>size:{valType:""number""</t>
  </si>
  <si>
    <t>dflt:8</t>
  </si>
  <si>
    <t>solidity:{valType:""number""</t>
  </si>
  <si>
    <t>max:1</t>
  </si>
  <si>
    <t>dflt:.3</t>
  </si>
  <si>
    <t>editType:""style""}}</t>
  </si>
  <si>
    <t>62203:function(t</t>
  </si>
  <si>
    <t>a=i.numberFormat</t>
  </si>
  <si>
    <t>o=r(10721)</t>
  </si>
  <si>
    <t>s=r(65657)</t>
  </si>
  <si>
    <t>l=r(33626)</t>
  </si>
  <si>
    <t>c=r(78766)</t>
  </si>
  <si>
    <t>u=r(88856)</t>
  </si>
  <si>
    <t>h=i.strTranslate</t>
  </si>
  <si>
    <t>f=r(30635)</t>
  </si>
  <si>
    <t>p=r(62972)</t>
  </si>
  <si>
    <t>d=r(4530).LINE_SPACING</t>
  </si>
  <si>
    <t>m=r(20438).DESELECTDIM</t>
  </si>
  <si>
    <t>g=r(64726)</t>
  </si>
  <si>
    <t>y=r(92527)</t>
  </si>
  <si>
    <t>v=r(36040).appendArrayPointValue</t>
  </si>
  <si>
    <t>x=t.exports={};function _(t){return""none""===t?void 0:t}x.font=function(t</t>
  </si>
  <si>
    <t>e){var r=e.variant</t>
  </si>
  <si>
    <t>n=e.style</t>
  </si>
  <si>
    <t>i=e.weight</t>
  </si>
  <si>
    <t>a=e.color</t>
  </si>
  <si>
    <t>o=e.size</t>
  </si>
  <si>
    <t>s=e.family</t>
  </si>
  <si>
    <t>l=e.shadow</t>
  </si>
  <si>
    <t>u=e.lineposition</t>
  </si>
  <si>
    <t>h=e.textcase;s&amp;&amp;t.style(""font-family""</t>
  </si>
  <si>
    <t>s)</t>
  </si>
  <si>
    <t>o+1&amp;&amp;t.style(""font-size""</t>
  </si>
  <si>
    <t>o+""px"")</t>
  </si>
  <si>
    <t>a&amp;&amp;t.call(c.fill</t>
  </si>
  <si>
    <t>i&amp;&amp;t.style(""font-weight""</t>
  </si>
  <si>
    <t>i)</t>
  </si>
  <si>
    <t>n&amp;&amp;t.style(""font-style""</t>
  </si>
  <si>
    <t>r&amp;&amp;t.style(""font-variant""</t>
  </si>
  <si>
    <t>h&amp;&amp;t.style(""text-transform""</t>
  </si>
  <si>
    <t>_(function(t){return b[t]}(h)))</t>
  </si>
  <si>
    <t>l&amp;&amp;t.style(""text-shadow""</t>
  </si>
  <si>
    <t>auto""===l?f.makeTextShadow(c.contrast(a)):_(l))</t>
  </si>
  <si>
    <t>u&amp;&amp;t.style(""text-decoration-line""</t>
  </si>
  <si>
    <t>_(function(t){return t.replace(""under""</t>
  </si>
  <si>
    <t>underline"").replace(""over""</t>
  </si>
  <si>
    <t>overline"").replace(""through""</t>
  </si>
  <si>
    <t>line-through"").split(""+"").join("" "")}(u)))};var b={normal:""none""</t>
  </si>
  <si>
    <t>lower:""lowercase""</t>
  </si>
  <si>
    <t>upper:""uppercase""</t>
  </si>
  <si>
    <t>word caps"":""capitalize""};function w(t</t>
  </si>
  <si>
    <t>n){var i=e.fillpattern</t>
  </si>
  <si>
    <t>a=e.fillgradient</t>
  </si>
  <si>
    <t>o=i&amp;&amp;x.getPatternAttr(i.shape</t>
  </si>
  <si>
    <t>");if(o){var s=x.getPatternAttr(i.bgcolor</t>
  </si>
  <si>
    <t>null)</t>
  </si>
  <si>
    <t>l=x.getPatternAttr(i.fgcolor</t>
  </si>
  <si>
    <t>u=i.fgopacity</t>
  </si>
  <si>
    <t>h=x.getPatternAttr(i.size</t>
  </si>
  <si>
    <t>8)</t>
  </si>
  <si>
    <t>f=x.getPatternAttr(i.solidity</t>
  </si>
  <si>
    <t>.3)</t>
  </si>
  <si>
    <t>p=e.uid;x.pattern(t</t>
  </si>
  <si>
    <t>point""</t>
  </si>
  <si>
    <t>o</t>
  </si>
  <si>
    <t>void 0</t>
  </si>
  <si>
    <t>i.fillmode</t>
  </si>
  <si>
    <t>u)}else if(a&amp;&amp;""none""!==a.type){var d</t>
  </si>
  <si>
    <t>g=a.type</t>
  </si>
  <si>
    <t>y=""scatterfill-""+e.uid;n&amp;&amp;(y=""legendfill-""+e.uid)</t>
  </si>
  <si>
    <t>n||void 0===a.start&amp;&amp;void 0===a.stop?(""horizontal""===g&amp;&amp;(g+=""reversed"")</t>
  </si>
  <si>
    <t>t.call(x.gradient</t>
  </si>
  <si>
    <t>g</t>
  </si>
  <si>
    <t>a.colorscale</t>
  </si>
  <si>
    <t>fill"")):(""horizontal""===g?(d={x:a.start</t>
  </si>
  <si>
    <t>y:0}</t>
  </si>
  <si>
    <t>m={x:a.stop</t>
  </si>
  <si>
    <t>y:0}):""vertical""===g&amp;&amp;(d={x:0</t>
  </si>
  <si>
    <t>y:a.start}</t>
  </si>
  <si>
    <t>m={x:0</t>
  </si>
  <si>
    <t>y:a.stop})</t>
  </si>
  <si>
    <t>d.x=e._xA.c2p(void 0===d.x?e._extremes.x.min[0].val:d.x</t>
  </si>
  <si>
    <t>d.y=e._yA.c2p(void 0===d.y?e._extremes.y.min[0].val:d.y</t>
  </si>
  <si>
    <t>m.x=e._xA.c2p(void 0===m.x?e._extremes.x.max[0].val:m.x</t>
  </si>
  <si>
    <t>m.y=e._yA.c2p(void 0===m.y?e._extremes.y.max[0].val:m.y</t>
  </si>
  <si>
    <t>t.call(E</t>
  </si>
  <si>
    <t>fill""</t>
  </si>
  <si>
    <t>!0</t>
  </si>
  <si>
    <t>!1))}else e.fillcolor&amp;&amp;t.call(c.fill</t>
  </si>
  <si>
    <t>e.fillcolor)}x.setPosition=function(t</t>
  </si>
  <si>
    <t>r){t.attr(""x""</t>
  </si>
  <si>
    <t>e).attr(""y""</t>
  </si>
  <si>
    <t>x.setSize=function(t</t>
  </si>
  <si>
    <t>r){t.attr(""width""</t>
  </si>
  <si>
    <t>e).attr(""height""</t>
  </si>
  <si>
    <t>x.setRect=function(t</t>
  </si>
  <si>
    <t>i){t.call(x.setPosition</t>
  </si>
  <si>
    <t>r).call(x.setSize</t>
  </si>
  <si>
    <t>i)}</t>
  </si>
  <si>
    <t>x.translatePoint=function(t</t>
  </si>
  <si>
    <t>n){var i=r.c2p(t.x)</t>
  </si>
  <si>
    <t>a=n.c2p(t.y);return!!(o(i)&amp;&amp;o(a)&amp;&amp;e.node())&amp;&amp;(""text""===e.node().nodeName?e.attr(""x""</t>
  </si>
  <si>
    <t>i).attr(""y""</t>
  </si>
  <si>
    <t>a):e.attr(""transform""</t>
  </si>
  <si>
    <t>h(i</t>
  </si>
  <si>
    <t>a))</t>
  </si>
  <si>
    <t>!0)}</t>
  </si>
  <si>
    <t>x.translatePoints=function(t</t>
  </si>
  <si>
    <t>r){t.each((function(t){var i=n.select(this);x.translatePoint(t</t>
  </si>
  <si>
    <t>r)}))}</t>
  </si>
  <si>
    <t>x.hideOutsideRangePoint=function(t</t>
  </si>
  <si>
    <t>a){e.attr(""display""</t>
  </si>
  <si>
    <t>r.isPtWithinRange(t</t>
  </si>
  <si>
    <t>i)&amp;&amp;n.isPtWithinRange(t</t>
  </si>
  <si>
    <t>a)?null:""none"")}</t>
  </si>
  <si>
    <t>x.hideOutsideRangePoints=function(t</t>
  </si>
  <si>
    <t>e){if(e._hasClipOnAxisFalse){var r=e.xaxis</t>
  </si>
  <si>
    <t>i=e.yaxis;t.each((function(e){var a=e[0].trace</t>
  </si>
  <si>
    <t>o=a.xcalendar</t>
  </si>
  <si>
    <t>s=a.ycalendar</t>
  </si>
  <si>
    <t>c=l.traceIs(a</t>
  </si>
  <si>
    <t>bar-like"")?"".bartext"":"".point</t>
  </si>
  <si>
    <t>.textpoint"";t.selectAll(c).each((function(t){x.hideOutsideRangePoint(t</t>
  </si>
  <si>
    <t>n.select(this)</t>
  </si>
  <si>
    <t>s)}))}))}}</t>
  </si>
  <si>
    <t>x.crispRound=function(t</t>
  </si>
  <si>
    <t>r){return e&amp;&amp;o(e)?t._context.staticPlot?e:e&lt;1?1:Math.round(e):r||0}</t>
  </si>
  <si>
    <t>x.singleLineStyle=function(t</t>
  </si>
  <si>
    <t>i){e.style(""fill""</t>
  </si>
  <si>
    <t>none"");var a=(((t||[])[0]||{}).trace||{}).line||{}</t>
  </si>
  <si>
    <t>o=r||a.width||0</t>
  </si>
  <si>
    <t>s=i||a.dash||"""";c.stroke(e</t>
  </si>
  <si>
    <t>n||a.color)</t>
  </si>
  <si>
    <t>x.dashLine(e</t>
  </si>
  <si>
    <t>o)}</t>
  </si>
  <si>
    <t>x.lineGroupStyle=function(t</t>
  </si>
  <si>
    <t>i){t.style(""fill""</t>
  </si>
  <si>
    <t>none"").each((function(t){var a=(((t||[])[0]||{}).trace||{}).line||{}</t>
  </si>
  <si>
    <t>o=e||a.width||0</t>
  </si>
  <si>
    <t>s=i||a.dash||"""";n.select(this).call(c.stroke</t>
  </si>
  <si>
    <t>r||a.color).call(x.dashLine</t>
  </si>
  <si>
    <t>o)}))}</t>
  </si>
  <si>
    <t>x.dashLine=function(t</t>
  </si>
  <si>
    <t>r){r=+r||0</t>
  </si>
  <si>
    <t>e=x.dashStyle(e</t>
  </si>
  <si>
    <t>t.style({""stroke-dasharray"":e</t>
  </si>
  <si>
    <t>stroke-width"":r+""px""})}</t>
  </si>
  <si>
    <t>x.dashStyle=function(t</t>
  </si>
  <si>
    <t>e){e=+e||1;var r=Math.max(e</t>
  </si>
  <si>
    <t>3);return""solid""===t?t="""":""dot""===t?t=r+""px</t>
  </si>
  <si>
    <t>+r+""px"":""dash""===t?t=3*r+""px</t>
  </si>
  <si>
    <t>+3*r+""px"":""longdash""===t?t=5*r+""px</t>
  </si>
  <si>
    <t>+5*r+""px"":""dashdot""===t?t=3*r+""px</t>
  </si>
  <si>
    <t>+r+""px</t>
  </si>
  <si>
    <t>+r+""px"":""longdashdot""===t&amp;&amp;(t=5*r+""px</t>
  </si>
  <si>
    <t>+2*r+""px</t>
  </si>
  <si>
    <t>+2*r+""px"")</t>
  </si>
  <si>
    <t>t}</t>
  </si>
  <si>
    <t>x.singleFillStyle=function(t</t>
  </si>
  <si>
    <t>e){var r=n.select(t.node());w(t</t>
  </si>
  <si>
    <t>((r.data()[0]||[])[0]||{}).trace||{}</t>
  </si>
  <si>
    <t>!1)}</t>
  </si>
  <si>
    <t>x.fillGroupStyle=function(t</t>
  </si>
  <si>
    <t>r){t.style(""stroke-width""</t>
  </si>
  <si>
    <t>0).each((function(t){var i=n.select(this);t[0].trace&amp;&amp;w(i</t>
  </si>
  <si>
    <t>t[0].trace</t>
  </si>
  <si>
    <t>r)}))};var T=r(38882);x.symbolNames=[]</t>
  </si>
  <si>
    <t>x.symbolFuncs=[]</t>
  </si>
  <si>
    <t>x.symbolBackOffs=[]</t>
  </si>
  <si>
    <t>x.symbolNeedLines={}</t>
  </si>
  <si>
    <t>x.symbolNoDot={}</t>
  </si>
  <si>
    <t>x.symbolNoFill={}</t>
  </si>
  <si>
    <t>x.symbolList=[]</t>
  </si>
  <si>
    <t>Object.keys(T).forEach((function(t){var e=T[t]</t>
  </si>
  <si>
    <t>r=e.n;x.symbolList.push(r</t>
  </si>
  <si>
    <t>String(r)</t>
  </si>
  <si>
    <t>r+100</t>
  </si>
  <si>
    <t>String(r+100)</t>
  </si>
  <si>
    <t>t+""-open"")</t>
  </si>
  <si>
    <t>x.symbolNames[r]=t</t>
  </si>
  <si>
    <t>x.symbolFuncs[r]=e.f</t>
  </si>
  <si>
    <t>x.symbolBackOffs[r]=e.backoff||0</t>
  </si>
  <si>
    <t>e.needLine&amp;&amp;(x.symbolNeedLines[r]=!0)</t>
  </si>
  <si>
    <t>e.noDot?x.symbolNoDot[r]=!0:x.symbolList.push(r+200</t>
  </si>
  <si>
    <t>String(r+200)</t>
  </si>
  <si>
    <t>t+""-dot""</t>
  </si>
  <si>
    <t>r+300</t>
  </si>
  <si>
    <t>String(r+300)</t>
  </si>
  <si>
    <t>t+""-open-dot"")</t>
  </si>
  <si>
    <t>e.noFill&amp;&amp;(x.symbolNoFill[r]=!0)}));var k=x.symbolNames.length;function A(t</t>
  </si>
  <si>
    <t>n){var i=t%100;return x.symbolFuncs[i](e</t>
  </si>
  <si>
    <t>n)+(t&gt;=200?""M0</t>
  </si>
  <si>
    <t>0.5L0.5</t>
  </si>
  <si>
    <t>0L0</t>
  </si>
  <si>
    <t>-0.5L-0.5</t>
  </si>
  <si>
    <t>0Z"":"""")}x.symbolNumber=function(t){if(o(t))t=+t;else if(""string""==typeof t){var e=0;t.indexOf(""-open"")&gt;0&amp;&amp;(e=100</t>
  </si>
  <si>
    <t>t=t.replace(""-open""</t>
  </si>
  <si>
    <t>"))</t>
  </si>
  <si>
    <t>t.indexOf(""-dot"")&gt;0&amp;&amp;(e+=200</t>
  </si>
  <si>
    <t>t=t.replace(""-dot""</t>
  </si>
  <si>
    <t>(t=x.symbolNames.indexOf(t))&gt;=0&amp;&amp;(t+=e)}return t%100&gt;=k||t&gt;=400?0:Math.floor(Math.max(t</t>
  </si>
  <si>
    <t>0))};var M=a(""~f"")</t>
  </si>
  <si>
    <t>S={radial:{type:""radial""}</t>
  </si>
  <si>
    <t>radialreversed:{type:""radial""</t>
  </si>
  <si>
    <t>reversed:!0}</t>
  </si>
  <si>
    <t>horizontal:{type:""linear""</t>
  </si>
  <si>
    <t>start:{x:1</t>
  </si>
  <si>
    <t>stop:{x:0</t>
  </si>
  <si>
    <t>y:0}}</t>
  </si>
  <si>
    <t>horizontalreversed:{type:""linear""</t>
  </si>
  <si>
    <t>vertical:{type:""linear""</t>
  </si>
  <si>
    <t>start:{x:0</t>
  </si>
  <si>
    <t>y:1}</t>
  </si>
  <si>
    <t>verticalreversed:{type:""linear""</t>
  </si>
  <si>
    <t>reversed:!0}};function E(t</t>
  </si>
  <si>
    <t>p){var d</t>
  </si>
  <si>
    <t>m=o.length;""linear""===a?d={node:""linearGradient""</t>
  </si>
  <si>
    <t>attrs:{x1:u.x</t>
  </si>
  <si>
    <t>y1:u.y</t>
  </si>
  <si>
    <t>x2:h.x</t>
  </si>
  <si>
    <t>y2:h.y</t>
  </si>
  <si>
    <t>gradientUnits:f?""userSpaceOnUse"":""objectBoundingBox""}</t>
  </si>
  <si>
    <t>reversed:p}:""radial""===a&amp;&amp;(d={node:""radialGradient""</t>
  </si>
  <si>
    <t>reversed:p});for(var g=new Array(m)</t>
  </si>
  <si>
    <t>y=0;y&lt;m;y++)d.reversed?g[m-1-y]=[M(100*(1-o[y][0]))</t>
  </si>
  <si>
    <t>o[y][1]]:g[y]=[M(100*o[y][0])</t>
  </si>
  <si>
    <t>o[y][1]];var v=e._fullLayout</t>
  </si>
  <si>
    <t>x=""g""+v._uid+""-""+r</t>
  </si>
  <si>
    <t>_=v._defs.select("".gradients"").selectAll(""#""+x).data([a+g.join("";"")]</t>
  </si>
  <si>
    <t>i.identity);_.exit().remove()</t>
  </si>
  <si>
    <t>_.enter().append(d.node).each((function(){var t=n.select(this);d.attrs&amp;&amp;t.attr(d.attrs)</t>
  </si>
  <si>
    <t>t.attr(""id""</t>
  </si>
  <si>
    <t>x);var e=t.selectAll(""stop"").data(g);e.exit().remove()</t>
  </si>
  <si>
    <t>e.enter().append(""stop"")</t>
  </si>
  <si>
    <t>e.each((function(t){var e=s(t[1]);n.select(this).attr({offset:t[0]+""%""</t>
  </si>
  <si>
    <t>stop-color"":c.tinyRGB(e)</t>
  </si>
  <si>
    <t>stop-opacity"":e.getAlpha()})}))}))</t>
  </si>
  <si>
    <t>t.style(l</t>
  </si>
  <si>
    <t>q(x</t>
  </si>
  <si>
    <t>e)).style(l+""-opacity""</t>
  </si>
  <si>
    <t>t.classed(""gradient_filled""</t>
  </si>
  <si>
    <t>!0)}x.gradient=function(t</t>
  </si>
  <si>
    <t>a){var o=S[n];return E(t</t>
  </si>
  <si>
    <t>o.type</t>
  </si>
  <si>
    <t>o.start</t>
  </si>
  <si>
    <t>o.stop</t>
  </si>
  <si>
    <t>!1</t>
  </si>
  <si>
    <t>o.reversed)}</t>
  </si>
  <si>
    <t>x.pattern=function(t</t>
  </si>
  <si>
    <t>m){var g=""legend""===e;h&amp;&amp;(""overlay""===f?(p=h</t>
  </si>
  <si>
    <t>d=c.contrast(p)):(p=void 0</t>
  </si>
  <si>
    <t>d=h));var y</t>
  </si>
  <si>
    <t>v</t>
  </si>
  <si>
    <t>x</t>
  </si>
  <si>
    <t>T</t>
  </si>
  <si>
    <t>k</t>
  </si>
  <si>
    <t>A</t>
  </si>
  <si>
    <t>M=r._fullLayout</t>
  </si>
  <si>
    <t>S=""p""+M._uid+""-""+a</t>
  </si>
  <si>
    <t>E={}</t>
  </si>
  <si>
    <t>C=s(d)</t>
  </si>
  <si>
    <t>L=c.tinyRGB(C)</t>
  </si>
  <si>
    <t>I=m*C.getAlpha();switch(o){case""/"":y=l*Math.sqrt(2)</t>
  </si>
  <si>
    <t>v=l*Math.sqrt(2)</t>
  </si>
  <si>
    <t>w=""path""</t>
  </si>
  <si>
    <t>E={d:x=""M-""+y/4+""</t>
  </si>
  <si>
    <t>+v/4+""l""+y/2+""</t>
  </si>
  <si>
    <t>-""+v/2+""M0</t>
  </si>
  <si>
    <t>+v+""L""+y+""</t>
  </si>
  <si>
    <t>0M""+y/4*3+""</t>
  </si>
  <si>
    <t>+v/4*5+""l""+y/2+""</t>
  </si>
  <si>
    <t>opacity:I</t>
  </si>
  <si>
    <t>stroke:L</t>
  </si>
  <si>
    <t>stroke-width"":(_=u*l)+""px""};break;case""\\"":y=l*Math.sqrt(2)</t>
  </si>
  <si>
    <t>E={d:x=""M""+y/4*3+""</t>
  </si>
  <si>
    <t>-""+v/4+""l""+y/2+""</t>
  </si>
  <si>
    <t>+v/2+""M0</t>
  </si>
  <si>
    <t>0L""+y+""</t>
  </si>
  <si>
    <t>+v+""M-""+y/4+""</t>
  </si>
  <si>
    <t>+v/4*3+""l""+y/2+""</t>
  </si>
  <si>
    <t>stroke-width"":(_=u*l)+""px""};break;case""x"":y=l*Math.sqrt(2)</t>
  </si>
  <si>
    <t>x=""M-""+y/4+""</t>
  </si>
  <si>
    <t>-""+v/2+""M""+y/4*3+""</t>
  </si>
  <si>
    <t>_=l-l*Math.sqrt(1-u)</t>
  </si>
  <si>
    <t>E={d:x</t>
  </si>
  <si>
    <t>stroke-width"":_+""px""};break;case""|"":w=""path""</t>
  </si>
  <si>
    <t>E={d:x=""M""+(y=l)/2+""</t>
  </si>
  <si>
    <t>0L""+y/2+""</t>
  </si>
  <si>
    <t>stroke-width"":(_=u*l)+""px""};break;case""-"":w=""path""</t>
  </si>
  <si>
    <t>E={d:x=""M0</t>
  </si>
  <si>
    <t>+(v=l)/2+""L""+(y=l)+""</t>
  </si>
  <si>
    <t>stroke-width"":(_=u*l)+""px""};break;case""+"":w=""path""</t>
  </si>
  <si>
    <t>x=""M""+(y=l)/2+""</t>
  </si>
  <si>
    <t>+(v=l)+""M0</t>
  </si>
  <si>
    <t>+v/2+""L""+y+""</t>
  </si>
  <si>
    <t>stroke-width"":_+""px""};break;case""."":y=l</t>
  </si>
  <si>
    <t>v=l</t>
  </si>
  <si>
    <t>u&lt;Math.PI/4?b=Math.sqrt(u*l*l/Math.PI):(T=u</t>
  </si>
  <si>
    <t>k=Math.PI/4</t>
  </si>
  <si>
    <t>b=(A=l/2)+(l/Math.sqrt(2)-A)*(T-k)/(1-k))</t>
  </si>
  <si>
    <t>w=""circle""</t>
  </si>
  <si>
    <t>E={cx:y/2</t>
  </si>
  <si>
    <t>cy:v/2</t>
  </si>
  <si>
    <t>r:b</t>
  </si>
  <si>
    <t>fill:L}}var P=[o||""noSh""</t>
  </si>
  <si>
    <t>p||""noBg""</t>
  </si>
  <si>
    <t>d||""noFg""</t>
  </si>
  <si>
    <t>u].join("";"")</t>
  </si>
  <si>
    <t>z=M._defs.select("".patterns"").selectAll(""#""+S).data([P]</t>
  </si>
  <si>
    <t>i.identity);z.exit().remove()</t>
  </si>
  <si>
    <t>z.enter().append(""pattern"").each((function(){var t=n.select(this);if(t.attr({id:S</t>
  </si>
  <si>
    <t>width:y+""px""</t>
  </si>
  <si>
    <t>height:v+""px""</t>
  </si>
  <si>
    <t>patternUnits:""userSpaceOnUse""</t>
  </si>
  <si>
    <t>patternTransform:g?""scale(0.8)"":""""})</t>
  </si>
  <si>
    <t>p){var e=s(p)</t>
  </si>
  <si>
    <t>r=c.tinyRGB(e)</t>
  </si>
  <si>
    <t>i=e.getAlpha()</t>
  </si>
  <si>
    <t>a=t.selectAll(""rect"").data([0]);a.exit().remove()</t>
  </si>
  <si>
    <t>a.enter().append(""rect"").attr({width:y+""px""</t>
  </si>
  <si>
    <t>fill:r</t>
  </si>
  <si>
    <t>fill-opacity"":i})}var o=t.selectAll(w).data([0]);o.exit().remove()</t>
  </si>
  <si>
    <t>o.enter().append(w).attr(E)}))</t>
  </si>
  <si>
    <t>t.style(""fill""</t>
  </si>
  <si>
    <t>q(S</t>
  </si>
  <si>
    <t>r)).style(""fill-opacity""</t>
  </si>
  <si>
    <t>t.classed(""pattern_filled""</t>
  </si>
  <si>
    <t>x.initGradients=function(t){var e=t._fullLayout;i.ensureSingle(e._defs</t>
  </si>
  <si>
    <t>gradients"").selectAll(""linearGradient</t>
  </si>
  <si>
    <t>radialGradient"").remove()</t>
  </si>
  <si>
    <t>n.select(t).selectAll("".gradient_filled"").classed(""gradient_filled""</t>
  </si>
  <si>
    <t>x.initPatterns=function(t){var e=t._fullLayout;i.ensureSingle(e._defs</t>
  </si>
  <si>
    <t>patterns"").selectAll(""pattern"").remove()</t>
  </si>
  <si>
    <t>n.select(t).selectAll("".pattern_filled"").classed(""pattern_filled""</t>
  </si>
  <si>
    <t>x.getPatternAttr=function(t</t>
  </si>
  <si>
    <t>r){return t&amp;&amp;i.isArrayOrTypedArray(t)?e&lt;t.length?t[e]:r:t}</t>
  </si>
  <si>
    <t>x.pointStyle=function(t</t>
  </si>
  <si>
    <t>i){if(t.size()){var a=x.makePointStyleFns(e);t.each((function(t){x.singlePointStyle(t</t>
  </si>
  <si>
    <t>i)}))}}</t>
  </si>
  <si>
    <t>x.singlePointStyle=function(t</t>
  </si>
  <si>
    <t>o){var s=r.marker</t>
  </si>
  <si>
    <t>l=s.line;if(o&amp;&amp;o.i&gt;=0&amp;&amp;void 0===t.i&amp;&amp;(t.i=o.i)</t>
  </si>
  <si>
    <t>e.style(""opacity""</t>
  </si>
  <si>
    <t>n.selectedOpacityFn?n.selectedOpacityFn(t):void 0===t.mo?s.opacity:t.mo)</t>
  </si>
  <si>
    <t>n.ms2mrc){var u;u=""various""===t.ms||""various""===s.size?3:n.ms2mrc(t.ms)</t>
  </si>
  <si>
    <t>t.mrc=u</t>
  </si>
  <si>
    <t>n.selectedSizeFn&amp;&amp;(u=t.mrc=n.selectedSizeFn(t));var h=x.symbolNumber(t.mx||s.symbol)||0;t.om=h%200&gt;=100;var f=nt(t</t>
  </si>
  <si>
    <t>p=Z(t</t>
  </si>
  <si>
    <t>r);e.attr(""d""</t>
  </si>
  <si>
    <t>A(h</t>
  </si>
  <si>
    <t>p))}var d</t>
  </si>
  <si>
    <t>y=!1;if(t.so)g=l.outlierwidth</t>
  </si>
  <si>
    <t>m=l.outliercolor</t>
  </si>
  <si>
    <t>d=s.outliercolor;else{var v=(l||{}).width;g=(t.mlw+1||v+1||(t.trace?(t.trace.marker.line||{}).width:0)+1)-1||0</t>
  </si>
  <si>
    <t>m=""mlc""in t?t.mlcc=n.lineScale(t.mlc):i.isArrayOrTypedArray(l.color)?c.defaultLine:l.color</t>
  </si>
  <si>
    <t>i.isArrayOrTypedArray(s.color)&amp;&amp;(d=c.defaultLine</t>
  </si>
  <si>
    <t>y=!0)</t>
  </si>
  <si>
    <t>d=""mc""in t?t.mcc=n.markerScale(t.mc):s.color||s.colors||""rgba(0</t>
  </si>
  <si>
    <t>0)""</t>
  </si>
  <si>
    <t>n.selectedColorFn&amp;&amp;(d=n.selectedColorFn(t))}if(t.om)e.call(c.stroke</t>
  </si>
  <si>
    <t>d).style({""stroke-width"":(g||1)+""px""</t>
  </si>
  <si>
    <t>fill:""none""});else{e.style(""stroke-width""</t>
  </si>
  <si>
    <t>(t.isBlank?0:g)+""px"");var _=s.gradient</t>
  </si>
  <si>
    <t>b=t.mgt;b?y=!0:b=_&amp;&amp;_.type</t>
  </si>
  <si>
    <t>i.isArrayOrTypedArray(b)&amp;&amp;(b=b[0]</t>
  </si>
  <si>
    <t>S[b]||(b=0));var w=s.pattern</t>
  </si>
  <si>
    <t>T=w&amp;&amp;x.getPatternAttr(w.shape</t>
  </si>
  <si>
    <t>t.i</t>
  </si>
  <si>
    <t>");if(b&amp;&amp;""none""!==b){var k=t.mgc;k?y=!0:k=_.color;var M=r.uid;y&amp;&amp;(M+=""-""+t.i)</t>
  </si>
  <si>
    <t>x.gradient(e</t>
  </si>
  <si>
    <t>[[0</t>
  </si>
  <si>
    <t>k]</t>
  </si>
  <si>
    <t>d]]</t>
  </si>
  <si>
    <t>fill"")}else if(T){var E=!1</t>
  </si>
  <si>
    <t>C=w.fgcolor;!C&amp;&amp;o&amp;&amp;o.color&amp;&amp;(C=o.color</t>
  </si>
  <si>
    <t>E=!0);var L=x.getPatternAttr(C</t>
  </si>
  <si>
    <t>o&amp;&amp;o.color||null)</t>
  </si>
  <si>
    <t>I=x.getPatternAttr(w.bgcolor</t>
  </si>
  <si>
    <t>P=w.fgopacity</t>
  </si>
  <si>
    <t>z=x.getPatternAttr(w.size</t>
  </si>
  <si>
    <t>O=x.getPatternAttr(w.solidity</t>
  </si>
  <si>
    <t>.3);E=E||t.mcc||i.isArrayOrTypedArray(w.shape)||i.isArrayOrTypedArray(w.bgcolor)||i.isArrayOrTypedArray(w.fgcolor)||i.isArrayOrTypedArray(w.size)||i.isArrayOrTypedArray(w.solidity);var D=r.uid;E&amp;&amp;(D+=""-""+t.i)</t>
  </si>
  <si>
    <t>x.pattern(e</t>
  </si>
  <si>
    <t>D</t>
  </si>
  <si>
    <t>z</t>
  </si>
  <si>
    <t>O</t>
  </si>
  <si>
    <t>t.mcc</t>
  </si>
  <si>
    <t>w.fillmode</t>
  </si>
  <si>
    <t>I</t>
  </si>
  <si>
    <t>L</t>
  </si>
  <si>
    <t>P)}else i.isArrayOrTypedArray(d)?c.fill(e</t>
  </si>
  <si>
    <t>d[t.i]):c.fill(e</t>
  </si>
  <si>
    <t>d);g&amp;&amp;c.stroke(e</t>
  </si>
  <si>
    <t>m)}}</t>
  </si>
  <si>
    <t>x.makePointStyleFns=function(t){var e={}</t>
  </si>
  <si>
    <t>r=t.marker;return e.markerScale=x.tryColorscale(r</t>
  </si>
  <si>
    <t>e.lineScale=x.tryColorscale(r</t>
  </si>
  <si>
    <t>line"")</t>
  </si>
  <si>
    <t>l.traceIs(t</t>
  </si>
  <si>
    <t>symbols"")&amp;&amp;(e.ms2mrc=g.isBubble(t)?y(t):function(){return(r.size||6)/2})</t>
  </si>
  <si>
    <t>t.selectedpoints&amp;&amp;i.extendFlat(e</t>
  </si>
  <si>
    <t>x.makeSelectedPointStyleFns(t))</t>
  </si>
  <si>
    <t>e}</t>
  </si>
  <si>
    <t>x.makeSelectedPointStyleFns=function(t){var e={}</t>
  </si>
  <si>
    <t>r=t.selected||{}</t>
  </si>
  <si>
    <t>n=t.unselected||{}</t>
  </si>
  <si>
    <t>a=t.marker||{}</t>
  </si>
  <si>
    <t>o=r.marker||{}</t>
  </si>
  <si>
    <t>s=n.marker||{}</t>
  </si>
  <si>
    <t>c=a.opacity</t>
  </si>
  <si>
    <t>u=o.opacity</t>
  </si>
  <si>
    <t>h=s.opacity</t>
  </si>
  <si>
    <t>f=void 0!==u</t>
  </si>
  <si>
    <t>p=void 0!==h;(i.isArrayOrTypedArray(c)||f||p)&amp;&amp;(e.selectedOpacityFn=function(t){var e=void 0===t.mo?a.opacity:t.mo;return t.selected?f?u:e:p?h:m*e});var d=a.color</t>
  </si>
  <si>
    <t>g=o.color</t>
  </si>
  <si>
    <t>y=s.color;(g||y)&amp;&amp;(e.selectedColorFn=function(t){var e=t.mcc||d;return t.selected?g||e:y||e});var v=a.size</t>
  </si>
  <si>
    <t>x=o.size</t>
  </si>
  <si>
    <t>_=s.size</t>
  </si>
  <si>
    <t>b=void 0!==x</t>
  </si>
  <si>
    <t>w=void 0!==_;return l.traceIs(t</t>
  </si>
  <si>
    <t>symbols"")&amp;&amp;(b||w)&amp;&amp;(e.selectedSizeFn=function(t){var e=t.mrc||v/2;return t.selected?b?x/2:e:w?_/2:e})</t>
  </si>
  <si>
    <t>x.makeSelectedTextStyleFns=function(t){var e={}</t>
  </si>
  <si>
    <t>i=t.textfont||{}</t>
  </si>
  <si>
    <t>a=r.textfont||{}</t>
  </si>
  <si>
    <t>o=n.textfont||{}</t>
  </si>
  <si>
    <t>s=i.color</t>
  </si>
  <si>
    <t>l=a.color</t>
  </si>
  <si>
    <t>u=o.color;return e.selectedTextColorFn=function(t){var e=t.tc||s;return t.selected?l||e:u||(l?e:c.addOpacity(e</t>
  </si>
  <si>
    <t>m))}</t>
  </si>
  <si>
    <t>x.selectedPointStyle=function(t</t>
  </si>
  <si>
    <t>e){if(t.size()&amp;&amp;e.selectedpoints){var r=x.makeSelectedPointStyleFns(e)</t>
  </si>
  <si>
    <t>i=e.marker||{}</t>
  </si>
  <si>
    <t>a=[];r.selectedOpacityFn&amp;&amp;a.push((function(t</t>
  </si>
  <si>
    <t>e){t.style(""opacity""</t>
  </si>
  <si>
    <t>r.selectedOpacityFn(e))}))</t>
  </si>
  <si>
    <t>r.selectedColorFn&amp;&amp;a.push((function(t</t>
  </si>
  <si>
    <t>e){c.fill(t</t>
  </si>
  <si>
    <t>r.selectedColorFn(e))}))</t>
  </si>
  <si>
    <t>r.selectedSizeFn&amp;&amp;a.push((function(t</t>
  </si>
  <si>
    <t>n){var a=n.mx||i.symbol||0</t>
  </si>
  <si>
    <t>o=r.selectedSizeFn(n);t.attr(""d""</t>
  </si>
  <si>
    <t>A(x.symbolNumber(a)</t>
  </si>
  <si>
    <t>nt(n</t>
  </si>
  <si>
    <t>e)</t>
  </si>
  <si>
    <t>Z(n</t>
  </si>
  <si>
    <t>e)))</t>
  </si>
  <si>
    <t>n.mrc2=o}))</t>
  </si>
  <si>
    <t>a.length&amp;&amp;t.each((function(t){for(var e=n.select(this)</t>
  </si>
  <si>
    <t>r=0;r&lt;a.length;r++)a[r](e</t>
  </si>
  <si>
    <t>t)}))}}</t>
  </si>
  <si>
    <t>x.tryColorscale=function(t</t>
  </si>
  <si>
    <t>e){var r=e?i.nestedProperty(t</t>
  </si>
  <si>
    <t>e).get():t;if(r){var n=r.color;if((r.colorscale||r._colorAx)&amp;&amp;i.isArrayOrTypedArray(n))return u.makeColorScaleFuncFromTrace(r)}return i.identity};var C</t>
  </si>
  <si>
    <t>I={start:1</t>
  </si>
  <si>
    <t>end:-1</t>
  </si>
  <si>
    <t>middle:0</t>
  </si>
  <si>
    <t>bottom:1</t>
  </si>
  <si>
    <t>top:-1};function P(t</t>
  </si>
  <si>
    <t>a){var o=n.select(t.node().parentNode)</t>
  </si>
  <si>
    <t>s=-1!==e.indexOf(""top"")?""top"":-1!==e.indexOf(""bottom"")?""bottom"":""middle""</t>
  </si>
  <si>
    <t>l=-1!==e.indexOf(""left"")?""end"":-1!==e.indexOf(""right"")?""start"":""middle""</t>
  </si>
  <si>
    <t>c=i?i/.8+1:0</t>
  </si>
  <si>
    <t>u=(f.lineCount(t)-1)*d+1</t>
  </si>
  <si>
    <t>p=I[l]*c</t>
  </si>
  <si>
    <t>m=.75*r+I[s]*c+(I[s]-1)*u*r/2;t.attr(""text-anchor""</t>
  </si>
  <si>
    <t>a||o.attr(""transform""</t>
  </si>
  <si>
    <t>h(p</t>
  </si>
  <si>
    <t>m))}function z(t</t>
  </si>
  <si>
    <t>e){var r=t.ts||e.textfont.size;return o(r)&amp;&amp;r&gt;0?r:0}function O(t</t>
  </si>
  <si>
    <t>r){return r&amp;&amp;(t=j(t))</t>
  </si>
  <si>
    <t>e?R(t[1]):D(t[0])}function D(t){var e=n.round(t</t>
  </si>
  <si>
    <t>2);return C=e</t>
  </si>
  <si>
    <t>e}function R(t){var e=n.round(t</t>
  </si>
  <si>
    <t>2);return L=e</t>
  </si>
  <si>
    <t>e}function F(t</t>
  </si>
  <si>
    <t>n){var i=t[0]-e[0]</t>
  </si>
  <si>
    <t>a=t[1]-e[1]</t>
  </si>
  <si>
    <t>o=r[0]-e[0]</t>
  </si>
  <si>
    <t>s=r[1]-e[1]</t>
  </si>
  <si>
    <t>l=Math.pow(i*i+a*a</t>
  </si>
  <si>
    <t>.25)</t>
  </si>
  <si>
    <t>c=Math.pow(o*o+s*s</t>
  </si>
  <si>
    <t>u=(c*c*i-l*l*o)*n</t>
  </si>
  <si>
    <t>h=(c*c*a-l*l*s)*n</t>
  </si>
  <si>
    <t>f=3*c*(l+c)</t>
  </si>
  <si>
    <t>p=3*l*(l+c);return[[D(e[0]+(f&amp;&amp;u/f))</t>
  </si>
  <si>
    <t>R(e[1]+(f&amp;&amp;h/f))]</t>
  </si>
  <si>
    <t>[D(e[0]-(p&amp;&amp;u/p))</t>
  </si>
  <si>
    <t>R(e[1]-(p&amp;&amp;h/p))]]}x.textPointStyle=function(t</t>
  </si>
  <si>
    <t>r){if(t.size()){var a;if(e.selectedpoints){var o=x.makeSelectedTextStyleFns(e);a=o.selectedTextColorFn}var s=e.texttemplate</t>
  </si>
  <si>
    <t>l=r._fullLayout;t.each((function(t){var o=n.select(this)</t>
  </si>
  <si>
    <t>c=s?i.extractOption(t</t>
  </si>
  <si>
    <t>txt""</t>
  </si>
  <si>
    <t>texttemplate""):i.extractOption(t</t>
  </si>
  <si>
    <t>tx""</t>
  </si>
  <si>
    <t>text"");if(c||0===c){if(s){var u=e._module.formatLabels</t>
  </si>
  <si>
    <t>h=u?u(t</t>
  </si>
  <si>
    <t>l):{}</t>
  </si>
  <si>
    <t>p={};v(p</t>
  </si>
  <si>
    <t>t.i);var d=e._meta||{};c=i.texttemplateString(c</t>
  </si>
  <si>
    <t>l._d3locale</t>
  </si>
  <si>
    <t>d)}var m=t.tp||e.textposition</t>
  </si>
  <si>
    <t>g=z(t</t>
  </si>
  <si>
    <t>y=a?a(t):t.tc||e.textfont.color;o.call(x.font</t>
  </si>
  <si>
    <t>{family:t.tf||e.textfont.family</t>
  </si>
  <si>
    <t>weight:t.tw||e.textfont.weight</t>
  </si>
  <si>
    <t>style:t.ty||e.textfont.style</t>
  </si>
  <si>
    <t>variant:t.tv||e.textfont.variant</t>
  </si>
  <si>
    <t>textcase:t.tC||e.textfont.textcase</t>
  </si>
  <si>
    <t>lineposition:t.tE||e.textfont.lineposition</t>
  </si>
  <si>
    <t>shadow:t.tS||e.textfont.shadow</t>
  </si>
  <si>
    <t>size:g</t>
  </si>
  <si>
    <t>color:y}).text(c).call(f.convertToTspans</t>
  </si>
  <si>
    <t>r).call(P</t>
  </si>
  <si>
    <t>t.mrc)}else o.remove()}))}}</t>
  </si>
  <si>
    <t>x.selectedTextStyle=function(t</t>
  </si>
  <si>
    <t>e){if(t.size()&amp;&amp;e.selectedpoints){var r=x.makeSelectedTextStyleFns(e);t.each((function(t){var i=n.select(this)</t>
  </si>
  <si>
    <t>a=r.selectedTextColorFn(t)</t>
  </si>
  <si>
    <t>o=t.tp||e.textposition</t>
  </si>
  <si>
    <t>s=z(t</t>
  </si>
  <si>
    <t>e);c.fill(i</t>
  </si>
  <si>
    <t>a);var u=l.traceIs(e</t>
  </si>
  <si>
    <t>bar-like"");P(i</t>
  </si>
  <si>
    <t>t.mrc2||t.mrc</t>
  </si>
  <si>
    <t>u)}))}}</t>
  </si>
  <si>
    <t>x.smoothopen=function(t</t>
  </si>
  <si>
    <t>e){if(t.length&lt;3)return""M""+t.join(""L"");var r</t>
  </si>
  <si>
    <t>n=""M""+t[0]</t>
  </si>
  <si>
    <t>i=[];for(r=1;r&lt;t.length-1;r++)i.push(F(t[r-1]</t>
  </si>
  <si>
    <t>t[r]</t>
  </si>
  <si>
    <t>t[r+1]</t>
  </si>
  <si>
    <t>e));for(n+=""Q""+i[0][0]+"" ""+t[1]</t>
  </si>
  <si>
    <t>r=2;r&lt;t.length-1;r++)n+=""C""+i[r-2][1]+"" ""+i[r-1][0]+"" ""+t[r];return n+""Q""+i[t.length-3][1]+"" ""+t[t.length-1]}</t>
  </si>
  <si>
    <t>x.smoothclosed=function(t</t>
  </si>
  <si>
    <t>e){if(t.length&lt;3)return""M""+t.join(""L"")+""Z"";var r</t>
  </si>
  <si>
    <t>i=t.length-1</t>
  </si>
  <si>
    <t>a=[F(t[i]</t>
  </si>
  <si>
    <t>t[0]</t>
  </si>
  <si>
    <t>t[1]</t>
  </si>
  <si>
    <t>e)];for(r=1;r&lt;i;r++)a.push(F(t[r-1]</t>
  </si>
  <si>
    <t>e));for(a.push(F(t[i-1]</t>
  </si>
  <si>
    <t>t[i]</t>
  </si>
  <si>
    <t>e))</t>
  </si>
  <si>
    <t>r=1;r&lt;=i;r++)n+=""C""+a[r-1][1]+"" ""+a[r][0]+"" ""+t[r];return n+""C""+a[i][1]+"" ""+a[0][0]+"" ""+t[0]+""Z""};var B={hv:function(t</t>
  </si>
  <si>
    <t>r){return""H""+D(e[0])+""V""+O(e</t>
  </si>
  <si>
    <t>vh:function(t</t>
  </si>
  <si>
    <t>r){return""V""+R(e[1])+""H""+O(e</t>
  </si>
  <si>
    <t>hvh:function(t</t>
  </si>
  <si>
    <t>r){return""H""+D((t[0]+e[0])/2)+""V""+R(e[1])+""H""+O(e</t>
  </si>
  <si>
    <t>vhv:function(t</t>
  </si>
  <si>
    <t>r){return""V""+R((t[1]+e[1])/2)+""H""+D(e[0])+""V""+O(e</t>
  </si>
  <si>
    <t>r)}}</t>
  </si>
  <si>
    <t>N=function(t</t>
  </si>
  <si>
    <t>r){return""L""+O(e</t>
  </si>
  <si>
    <t>r)+""</t>
  </si>
  <si>
    <t>+O(e</t>
  </si>
  <si>
    <t>r)};function j(t</t>
  </si>
  <si>
    <t>e){var r=t.backoff</t>
  </si>
  <si>
    <t>n=t.trace</t>
  </si>
  <si>
    <t>a=t.d</t>
  </si>
  <si>
    <t>o=t.i;if(r&amp;&amp;n&amp;&amp;n.marker&amp;&amp;n.marker.angle%360==0&amp;&amp;n.line&amp;&amp;""spline""!==n.line.shape){var s=i.isArrayOrTypedArray(r)</t>
  </si>
  <si>
    <t>l=t</t>
  </si>
  <si>
    <t>c=e?e[0]:C||0</t>
  </si>
  <si>
    <t>u=e?e[1]:L||0</t>
  </si>
  <si>
    <t>h=l[0]</t>
  </si>
  <si>
    <t>f=l[1]</t>
  </si>
  <si>
    <t>p=h-c</t>
  </si>
  <si>
    <t>d=f-u</t>
  </si>
  <si>
    <t>m=Math.atan2(d</t>
  </si>
  <si>
    <t>g=s?r[o]:r;if(""auto""===g){var y=l.i;""scatter""===n.type&amp;&amp;y--;var v=l.marker</t>
  </si>
  <si>
    <t>_=v.symbol;i.isArrayOrTypedArray(_)&amp;&amp;(_=_[y]);var b=v.size;i.isArrayOrTypedArray(b)&amp;&amp;(b=b[y])</t>
  </si>
  <si>
    <t>g=v?x.symbolBackOffs[x.symbolNumber(_)]*b:0</t>
  </si>
  <si>
    <t>g+=x.getMarkerStandoff(a[y]</t>
  </si>
  <si>
    <t>n)||0}var w=h-g*Math.cos(m)</t>
  </si>
  <si>
    <t>T=f-g*Math.sin(m);(w&lt;=h&amp;&amp;w&gt;=c||w&gt;=h&amp;&amp;w&lt;=c)&amp;&amp;(T&lt;=f&amp;&amp;T&gt;=u||T&gt;=f&amp;&amp;T&lt;=u)&amp;&amp;(t=[w</t>
  </si>
  <si>
    <t>T])}return t}x.steps=function(t){var e=B[t]||N;return function(t){for(var r=""M""+D(t[0][0])+""</t>
  </si>
  <si>
    <t>+R(t[0][1])</t>
  </si>
  <si>
    <t>n=t.length</t>
  </si>
  <si>
    <t>i=1;i&lt;n;i++)r+=e(t[i-1]</t>
  </si>
  <si>
    <t>i===n-1);return r}}</t>
  </si>
  <si>
    <t>x.applyBackoff=j</t>
  </si>
  <si>
    <t>x.makeTester=function(){var t=i.ensureSingleById(n.select(""body"")</t>
  </si>
  <si>
    <t>svg""</t>
  </si>
  <si>
    <t>js-plotly-tester""</t>
  </si>
  <si>
    <t>(function(t){t.attr(p.svgAttrs).style({position:""absolute""</t>
  </si>
  <si>
    <t>left:""-10000px""</t>
  </si>
  <si>
    <t>top:""-10000px""</t>
  </si>
  <si>
    <t>width:""9000px""</t>
  </si>
  <si>
    <t>height:""9000px""</t>
  </si>
  <si>
    <t>z-index"":""1""})}))</t>
  </si>
  <si>
    <t>e=i.ensureSingle(t</t>
  </si>
  <si>
    <t>path""</t>
  </si>
  <si>
    <t>js-reference-point""</t>
  </si>
  <si>
    <t>(function(t){t.attr(""d""</t>
  </si>
  <si>
    <t>M0</t>
  </si>
  <si>
    <t>0H1V1H0Z"").style({""stroke-width"":0</t>
  </si>
  <si>
    <t>fill:""black""})}));x.tester=t</t>
  </si>
  <si>
    <t>x.testref=e}</t>
  </si>
  <si>
    <t>x.savedBBoxes={};var U=0;function V(t){var e=t.getAttribute(""data-unformatted"");if(null!==e)return e+t.getAttribute(""data-math"")+t.getAttribute(""text-anchor"")+t.getAttribute(""style"")}function q(t</t>
  </si>
  <si>
    <t>e){if(!t)return null;var r=e._context</t>
  </si>
  <si>
    <t>n=r._exportedPlot?"""":r._baseUrl||"""";return n?""url('""+n+""#""+t+""')"":""url(#""+t+"")""}x.bBox=function(t</t>
  </si>
  <si>
    <t>r){var a</t>
  </si>
  <si>
    <t>s;if(r||(r=V(t))</t>
  </si>
  <si>
    <t>r){if(a=x.savedBBoxes[r])return i.extendFlat({}</t>
  </si>
  <si>
    <t>a)}else if(1===t.childNodes.length){var l=t.childNodes[0];if(r=V(l)){var c=+l.getAttribute(""x"")||0</t>
  </si>
  <si>
    <t>u=+l.getAttribute(""y"")||0</t>
  </si>
  <si>
    <t>h=l.getAttribute(""transform"");if(!h){var p=x.bBox(l</t>
  </si>
  <si>
    <t>r);return c&amp;&amp;(p.left+=c</t>
  </si>
  <si>
    <t>p.right+=c)</t>
  </si>
  <si>
    <t>u&amp;&amp;(p.top+=u</t>
  </si>
  <si>
    <t>p.bottom+=u)</t>
  </si>
  <si>
    <t>p}if(r+=""~""+c+""~""+u+""~""+h</t>
  </si>
  <si>
    <t>a=x.savedBBoxes[r])return i.extendFlat({}</t>
  </si>
  <si>
    <t>a)}}e?o=t:(s=x.tester.node()</t>
  </si>
  <si>
    <t>o=t.cloneNode(!0)</t>
  </si>
  <si>
    <t>s.appendChild(o))</t>
  </si>
  <si>
    <t>n.select(o).attr(""transform""</t>
  </si>
  <si>
    <t>null).call(f.positionText</t>
  </si>
  <si>
    <t>0);var d=o.getBoundingClientRect()</t>
  </si>
  <si>
    <t>m=x.testref.node().getBoundingClientRect();e||s.removeChild(o);var g={height:d.height</t>
  </si>
  <si>
    <t>width:d.width</t>
  </si>
  <si>
    <t>left:d.left-m.left</t>
  </si>
  <si>
    <t>top:d.top-m.top</t>
  </si>
  <si>
    <t>right:d.right-m.left</t>
  </si>
  <si>
    <t>bottom:d.bottom-m.top};return U&gt;=1e4&amp;&amp;(x.savedBBoxes={}</t>
  </si>
  <si>
    <t>U=0)</t>
  </si>
  <si>
    <t>r&amp;&amp;(x.savedBBoxes[r]=g)</t>
  </si>
  <si>
    <t>U++</t>
  </si>
  <si>
    <t>i.extendFlat({}</t>
  </si>
  <si>
    <t>g)}</t>
  </si>
  <si>
    <t>x.setClipUrl=function(t</t>
  </si>
  <si>
    <t>r){t.attr(""clip-path""</t>
  </si>
  <si>
    <t>q(e</t>
  </si>
  <si>
    <t>r))}</t>
  </si>
  <si>
    <t>x.getTranslate=function(t){var e=(t[t.attr?""attr"":""getAttribute""](""transform"")||"""").replace(/.*\btranslate\((-?\d*\.?\d*)[^-\d]*(-?\d*\.?\d*)[^\d].*/</t>
  </si>
  <si>
    <t>(function(t</t>
  </si>
  <si>
    <t>r){return[e</t>
  </si>
  <si>
    <t>r].join("" "")})).split("" "");return{x:+e[0]||0</t>
  </si>
  <si>
    <t>y:+e[1]||0}}</t>
  </si>
  <si>
    <t>x.setTranslate=function(t</t>
  </si>
  <si>
    <t>r){var n=t.attr?""attr"":""getAttribute""</t>
  </si>
  <si>
    <t>i=t.attr?""attr"":""setAttribute""</t>
  </si>
  <si>
    <t>a=t[n](""transform"")||"""";return e=e||0</t>
  </si>
  <si>
    <t>r=r||0</t>
  </si>
  <si>
    <t>a=a.replace(/(\btranslate\(.*?\);?)/</t>
  </si>
  <si>
    <t>").trim()</t>
  </si>
  <si>
    <t>a=(a+=h(e</t>
  </si>
  <si>
    <t>r)).trim()</t>
  </si>
  <si>
    <t>t[i](""transform""</t>
  </si>
  <si>
    <t>a}</t>
  </si>
  <si>
    <t>x.getScale=function(t){var e=(t[t.attr?""attr"":""getAttribute""](""transform"")||"""").replace(/.*\bscale\((\d*\.?\d*)[^\d]*(\d*\.?\d*)[^\d].*/</t>
  </si>
  <si>
    <t>r].join("" "")})).split("" "");return{x:+e[0]||1</t>
  </si>
  <si>
    <t>y:+e[1]||1}}</t>
  </si>
  <si>
    <t>x.setScale=function(t</t>
  </si>
  <si>
    <t>a=t[n](""transform"")||"""";return e=e||1</t>
  </si>
  <si>
    <t>r=r||1</t>
  </si>
  <si>
    <t>a=a.replace(/(\bscale\(.*?\);?)/</t>
  </si>
  <si>
    <t>a=(a+=""scale(""+e+""</t>
  </si>
  <si>
    <t>+r+"")"").trim()</t>
  </si>
  <si>
    <t>a};var H=/\s*sc.*/;x.setPointGroupScale=function(t</t>
  </si>
  <si>
    <t>r){if(e=e||1</t>
  </si>
  <si>
    <t>t){var n=1===e&amp;&amp;1===r?"""":""scale(""+e+""</t>
  </si>
  <si>
    <t>+r+"")"";t.each((function(){var t=(this.getAttribute(""transform"")||"""").replace(H</t>
  </si>
  <si>
    <t>");t=(t+=n).trim()</t>
  </si>
  <si>
    <t>this.setAttribute(""transform""</t>
  </si>
  <si>
    <t>t)}))}};var G=/translate\([^)]*\)\s*$/;function Z(t</t>
  </si>
  <si>
    <t>e){var r;return t&amp;&amp;(r=t.mf)</t>
  </si>
  <si>
    <t>void 0===r&amp;&amp;(r=e.marker&amp;&amp;e.marker.standoff||0)</t>
  </si>
  <si>
    <t>e._geo||e._xA?r:-r}x.setTextPointsScale=function(t</t>
  </si>
  <si>
    <t>r){t&amp;&amp;t.each((function(){var t</t>
  </si>
  <si>
    <t>i=n.select(this)</t>
  </si>
  <si>
    <t>a=i.select(""text"");if(a.node()){var o=parseFloat(a.attr(""x"")||0)</t>
  </si>
  <si>
    <t>s=parseFloat(a.attr(""y"")||0)</t>
  </si>
  <si>
    <t>l=(i.attr(""transform"")||"""").match(G);t=1===e&amp;&amp;1===r?[]:[h(o</t>
  </si>
  <si>
    <t>scale(""+e+""</t>
  </si>
  <si>
    <t>+r+"")""</t>
  </si>
  <si>
    <t>h(-o</t>
  </si>
  <si>
    <t>-s)]</t>
  </si>
  <si>
    <t>l&amp;&amp;t.push(l)</t>
  </si>
  <si>
    <t>i.attr(""transform""</t>
  </si>
  <si>
    <t>t.join(""""))}}))}</t>
  </si>
  <si>
    <t>x.getMarkerStandoff=Z;var W</t>
  </si>
  <si>
    <t>Y</t>
  </si>
  <si>
    <t>X</t>
  </si>
  <si>
    <t>$</t>
  </si>
  <si>
    <t>J</t>
  </si>
  <si>
    <t>K</t>
  </si>
  <si>
    <t>Q=Math.atan2</t>
  </si>
  <si>
    <t>tt=Math.cos</t>
  </si>
  <si>
    <t>et=Math.sin;function rt(t</t>
  </si>
  <si>
    <t>e){var r=e[0]</t>
  </si>
  <si>
    <t>n=e[1];return[r*tt(t)-n*et(t)</t>
  </si>
  <si>
    <t>r*et(t)+n*tt(t)]}function nt(t</t>
  </si>
  <si>
    <t>e){var r</t>
  </si>
  <si>
    <t>a=t.ma;void 0===a&amp;&amp;((a=e.marker.angle)&amp;&amp;!i.isArrayOrTypedArray(a)||(a=0));var s=e.marker.angleref;if(""previous""===s||""north""===s){if(e._geo){var l=e._geo.project(t.lonlat);r=l[0]</t>
  </si>
  <si>
    <t>n=l[1]}else{var c=e._xA</t>
  </si>
  <si>
    <t>u=e._yA;if(!c||!u)return 90;r=c.c2p(t.x)</t>
  </si>
  <si>
    <t>n=u.c2p(t.y)}if(e._geo){var h</t>
  </si>
  <si>
    <t>f=t.lonlat[0]</t>
  </si>
  <si>
    <t>p=t.lonlat[1]</t>
  </si>
  <si>
    <t>d=e._geo.project([f</t>
  </si>
  <si>
    <t>p+1e-5])</t>
  </si>
  <si>
    <t>m=e._geo.project([f+1e-5</t>
  </si>
  <si>
    <t>p])</t>
  </si>
  <si>
    <t>g=Q(m[1]-n</t>
  </si>
  <si>
    <t>m[0]-r)</t>
  </si>
  <si>
    <t>y=Q(d[1]-n</t>
  </si>
  <si>
    <t>d[0]-r);if(""north""===s)h=a/180*Math.PI;else if(""previous""===s){var v=f/180*Math.PI</t>
  </si>
  <si>
    <t>x=p/180*Math.PI</t>
  </si>
  <si>
    <t>_=W/180*Math.PI</t>
  </si>
  <si>
    <t>b=Y/180*Math.PI</t>
  </si>
  <si>
    <t>w=_-v</t>
  </si>
  <si>
    <t>T=tt(b)*et(w)</t>
  </si>
  <si>
    <t>k=et(b)*tt(x)-tt(b)*et(x)*tt(w);h=-Q(T</t>
  </si>
  <si>
    <t>k)-Math.PI</t>
  </si>
  <si>
    <t>W=f</t>
  </si>
  <si>
    <t>Y=p}var A=rt(g</t>
  </si>
  <si>
    <t>[tt(h)</t>
  </si>
  <si>
    <t>0])</t>
  </si>
  <si>
    <t>M=rt(y</t>
  </si>
  <si>
    <t>[et(h)</t>
  </si>
  <si>
    <t>0]);a=Q(A[1]+M[1]</t>
  </si>
  <si>
    <t>A[0]+M[0])/Math.PI*180</t>
  </si>
  <si>
    <t>previous""!==s||K===e.uid&amp;&amp;t.i===J+1||(a=null)}if(""previous""===s&amp;&amp;!e._geo)if(K===e.uid&amp;&amp;t.i===J+1&amp;&amp;o(r)&amp;&amp;o(n)){var S=r-X</t>
  </si>
  <si>
    <t>E=n-$</t>
  </si>
  <si>
    <t>C=e.line&amp;&amp;e.line.shape||""""</t>
  </si>
  <si>
    <t>L=C.slice(C.length-1);""h""===L&amp;&amp;(E=0)</t>
  </si>
  <si>
    <t>v""===L&amp;&amp;(S=0)</t>
  </si>
  <si>
    <t>a+=Q(E</t>
  </si>
  <si>
    <t>S)/Math.PI*180+90}else a=null}return X=r</t>
  </si>
  <si>
    <t>$=n</t>
  </si>
  <si>
    <t>J=t.i</t>
  </si>
  <si>
    <t>K=e.uid</t>
  </si>
  <si>
    <t>a}x.getMarkerAngle=nt}</t>
  </si>
  <si>
    <t>38882:function(t</t>
  </si>
  <si>
    <t>r){""use strict"";var n</t>
  </si>
  <si>
    <t>s=r(26953)</t>
  </si>
  <si>
    <t>l=r(45568).round</t>
  </si>
  <si>
    <t>c=""M0</t>
  </si>
  <si>
    <t>0Z""</t>
  </si>
  <si>
    <t>u=Math.sqrt(2)</t>
  </si>
  <si>
    <t>h=Math.sqrt(3)</t>
  </si>
  <si>
    <t>f=Math.PI</t>
  </si>
  <si>
    <t>p=Math.cos</t>
  </si>
  <si>
    <t>d=Math.sin;function m(t){return null===t}function g(t</t>
  </si>
  <si>
    <t>r){if(!(t&amp;&amp;t%360!=0||e))return r;if(a===t&amp;&amp;o===e&amp;&amp;n===r)return i;function l(t</t>
  </si>
  <si>
    <t>r){var n=p(t)</t>
  </si>
  <si>
    <t>i=d(t)</t>
  </si>
  <si>
    <t>a=r[0]</t>
  </si>
  <si>
    <t>o=r[1]+(e||0);return[a*n-o*i</t>
  </si>
  <si>
    <t>a*i+o*n]}a=t</t>
  </si>
  <si>
    <t>o=e</t>
  </si>
  <si>
    <t>n=r;for(var c=t/180*f</t>
  </si>
  <si>
    <t>u=0</t>
  </si>
  <si>
    <t>h=0</t>
  </si>
  <si>
    <t>m=s(r)</t>
  </si>
  <si>
    <t>g=""""</t>
  </si>
  <si>
    <t>y=0;y&lt;m.length;y++){var v=m[y]</t>
  </si>
  <si>
    <t>x=v[0]</t>
  </si>
  <si>
    <t>_=u</t>
  </si>
  <si>
    <t>b=h;if(""M""===x||""L""===x)u=+v[1]</t>
  </si>
  <si>
    <t>h=+v[2];else if(""m""===x||""l""===x)u+=+v[1]</t>
  </si>
  <si>
    <t>h+=+v[2];else if(""H""===x)u=+v[1];else if(""h""===x)u+=+v[1];else if(""V""===x)h=+v[1];else if(""v""===x)h+=+v[1];else if(""A""===x){u=+v[1]</t>
  </si>
  <si>
    <t>h=+v[2];var w=l(c</t>
  </si>
  <si>
    <t>[+v[6]</t>
  </si>
  <si>
    <t>+v[7]]);v[6]=w[0]</t>
  </si>
  <si>
    <t>v[7]=w[1]</t>
  </si>
  <si>
    <t>v[3]=+v[3]+t}""H""!==x&amp;&amp;""V""!==x||(x=""L"")</t>
  </si>
  <si>
    <t>h""!==x&amp;&amp;""v""!==x||(x=""l"")</t>
  </si>
  <si>
    <t>m""!==x&amp;&amp;""l""!==x||(u-=_</t>
  </si>
  <si>
    <t>h-=b);var T=l(c</t>
  </si>
  <si>
    <t>[u</t>
  </si>
  <si>
    <t>h]);""H""!==x&amp;&amp;""V""!==x||(x=""L"")</t>
  </si>
  <si>
    <t>M""!==x&amp;&amp;""L""!==x&amp;&amp;""m""!==x&amp;&amp;""l""!==x||(v[1]=T[0]</t>
  </si>
  <si>
    <t>v[2]=T[1])</t>
  </si>
  <si>
    <t>v[0]=x</t>
  </si>
  <si>
    <t>g+=v[0]+v.slice(1).join(""</t>
  </si>
  <si>
    <t>)}return i=g</t>
  </si>
  <si>
    <t>g}t.exports={circle:{n:0</t>
  </si>
  <si>
    <t>f:function(t</t>
  </si>
  <si>
    <t>r){if(m(e))return c;var n=l(t</t>
  </si>
  <si>
    <t>i=""M""+n+""</t>
  </si>
  <si>
    <t>0A""+n+""</t>
  </si>
  <si>
    <t>+n+"" 0 1</t>
  </si>
  <si>
    <t>1 0</t>
  </si>
  <si>
    <t>-""+n+""A""+n+""</t>
  </si>
  <si>
    <t>+n+"" 0 0</t>
  </si>
  <si>
    <t>1 ""+n+""</t>
  </si>
  <si>
    <t>0Z"";return r?g(e</t>
  </si>
  <si>
    <t>i):i}}</t>
  </si>
  <si>
    <t>square:{n:1</t>
  </si>
  <si>
    <t>2);return g(e</t>
  </si>
  <si>
    <t>M""+n+""</t>
  </si>
  <si>
    <t>+n+""H-""+n+""V-""+n+""H""+n+""Z"")}}</t>
  </si>
  <si>
    <t>diamond:{n:2</t>
  </si>
  <si>
    <t>r){if(m(e))return c;var n=l(1.3*t</t>
  </si>
  <si>
    <t>+n+""L-""+n+""</t>
  </si>
  <si>
    <t>-""+n+""Z"")}}</t>
  </si>
  <si>
    <t>cross:{n:3</t>
  </si>
  <si>
    <t>r){if(m(e))return c;var n=l(.4*t</t>
  </si>
  <si>
    <t>i=l(1.2*t</t>
  </si>
  <si>
    <t>M""+i+""</t>
  </si>
  <si>
    <t>+n+""H""+n+""V""+i+""H-""+n+""V""+n+""H-""+i+""V-""+n+""H-""+n+""V-""+i+""H""+n+""V-""+n+""H""+i+""Z"")}}</t>
  </si>
  <si>
    <t>x:{n:4</t>
  </si>
  <si>
    <t>r){if(m(e))return c;var n=l(.8*t/u</t>
  </si>
  <si>
    <t>i=""l""+n+""</t>
  </si>
  <si>
    <t>a=""l""+n+""</t>
  </si>
  <si>
    <t>o=""l-""+n+""</t>
  </si>
  <si>
    <t>s=""l-""+n+""</t>
  </si>
  <si>
    <t>+n;return g(e</t>
  </si>
  <si>
    <t>+n+i+a+o+a+o+s+o+s+i+s+i+""Z"")}}</t>
  </si>
  <si>
    <t>triangle-up"":{n:5</t>
  </si>
  <si>
    <t>r){if(m(e))return c;var n=l(2*t/h</t>
  </si>
  <si>
    <t>M-""+n+""</t>
  </si>
  <si>
    <t>+l(t/2</t>
  </si>
  <si>
    <t>2)+""H""+n+""L0</t>
  </si>
  <si>
    <t>-""+l(t</t>
  </si>
  <si>
    <t>2)+""Z"")}}</t>
  </si>
  <si>
    <t>triangle-down"":{n:6</t>
  </si>
  <si>
    <t>-""+l(t/2</t>
  </si>
  <si>
    <t>+l(t</t>
  </si>
  <si>
    <t>triangle-left"":{n:7</t>
  </si>
  <si>
    <t>M""+l(t/2</t>
  </si>
  <si>
    <t>2)+""</t>
  </si>
  <si>
    <t>-""+n+""V""+n+""L-""+l(t</t>
  </si>
  <si>
    <t>0Z"")}}</t>
  </si>
  <si>
    <t>triangle-right"":{n:8</t>
  </si>
  <si>
    <t>M-""+l(t/2</t>
  </si>
  <si>
    <t>-""+n+""V""+n+""L""+l(t</t>
  </si>
  <si>
    <t>triangle-ne"":{n:9</t>
  </si>
  <si>
    <t>r){if(m(e))return c;var n=l(.6*t</t>
  </si>
  <si>
    <t>M-""+i+""</t>
  </si>
  <si>
    <t>-""+n+""H""+n+""V""+i+""Z"")}}</t>
  </si>
  <si>
    <t>triangle-se"":{n:10</t>
  </si>
  <si>
    <t>-""+i+""V""+n+""H-""+i+""Z"")}}</t>
  </si>
  <si>
    <t>triangle-sw"":{n:11</t>
  </si>
  <si>
    <t>+n+""H-""+n+""V-""+i+""Z"")}}</t>
  </si>
  <si>
    <t>triangle-nw"":{n:12</t>
  </si>
  <si>
    <t>+i+""V-""+n+""H""+i+""Z"")}}</t>
  </si>
  <si>
    <t>pentagon:{n:13</t>
  </si>
  <si>
    <t>r){if(m(e))return c;var n=l(.951*t</t>
  </si>
  <si>
    <t>i=l(.588*t</t>
  </si>
  <si>
    <t>a=l(-t</t>
  </si>
  <si>
    <t>o=l(-.309*t</t>
  </si>
  <si>
    <t>+o+""L""+i+""</t>
  </si>
  <si>
    <t>+l(.809*t</t>
  </si>
  <si>
    <t>2)+""H-""+i+""L-""+n+""</t>
  </si>
  <si>
    <t>+o+""L0</t>
  </si>
  <si>
    <t>+a+""Z"")}}</t>
  </si>
  <si>
    <t>hexagon:{n:14</t>
  </si>
  <si>
    <t>i=l(t/2</t>
  </si>
  <si>
    <t>a=l(t*h/2</t>
  </si>
  <si>
    <t>M""+a+""</t>
  </si>
  <si>
    <t>-""+i+""V""+i+""L0</t>
  </si>
  <si>
    <t>+n+""L-""+a+""</t>
  </si>
  <si>
    <t>+i+""V-""+i+""L0</t>
  </si>
  <si>
    <t>hexagon2:{n:15</t>
  </si>
  <si>
    <t>+a+""H""+i+""L""+n+""</t>
  </si>
  <si>
    <t>0L""+i+""</t>
  </si>
  <si>
    <t>-""+a+""H-""+i+""L-""+n+""</t>
  </si>
  <si>
    <t>octagon:{n:16</t>
  </si>
  <si>
    <t>r){if(m(e))return c;var n=l(.924*t</t>
  </si>
  <si>
    <t>i=l(.383*t</t>
  </si>
  <si>
    <t>-""+n+""H""+i+""L""+n+""</t>
  </si>
  <si>
    <t>-""+i+""V""+i+""L""+i+""</t>
  </si>
  <si>
    <t>+n+""H-""+i+""L-""+n+""</t>
  </si>
  <si>
    <t>+i+""V-""+i+""Z"")}}</t>
  </si>
  <si>
    <t>star:{n:17</t>
  </si>
  <si>
    <t>r){if(m(e))return c;var n=1.4*t</t>
  </si>
  <si>
    <t>i=l(.225*n</t>
  </si>
  <si>
    <t>a=l(.951*n</t>
  </si>
  <si>
    <t>o=l(.363*n</t>
  </si>
  <si>
    <t>s=l(.588*n</t>
  </si>
  <si>
    <t>u=l(-n</t>
  </si>
  <si>
    <t>h=l(-.309*n</t>
  </si>
  <si>
    <t>f=l(.118*n</t>
  </si>
  <si>
    <t>p=l(.809*n</t>
  </si>
  <si>
    <t>+h+""H""+a+""L""+o+""</t>
  </si>
  <si>
    <t>+f+""L""+s+""</t>
  </si>
  <si>
    <t>+p+""L0</t>
  </si>
  <si>
    <t>+l(.382*n</t>
  </si>
  <si>
    <t>2)+""L-""+s+""</t>
  </si>
  <si>
    <t>+p+""L-""+o+""</t>
  </si>
  <si>
    <t>+f+""L-""+a+""</t>
  </si>
  <si>
    <t>+h+""H-""+i+""L0</t>
  </si>
  <si>
    <t>+u+""Z"")}}</t>
  </si>
  <si>
    <t>hexagram:{n:18</t>
  </si>
  <si>
    <t>r){if(m(e))return c;var n=l(.66*t</t>
  </si>
  <si>
    <t>i=l(.38*t</t>
  </si>
  <si>
    <t>a=l(.76*t</t>
  </si>
  <si>
    <t>M-""+a+""</t>
  </si>
  <si>
    <t>0l-""+i+""</t>
  </si>
  <si>
    <t>-""+n+""h""+a+""l""+i+""</t>
  </si>
  <si>
    <t>-""+n+""l""+i+""</t>
  </si>
  <si>
    <t>+n+""h""+a+""l-""+i+""</t>
  </si>
  <si>
    <t>+n+""l""+i+""</t>
  </si>
  <si>
    <t>+n+""h-""+a+""l-""+i+""</t>
  </si>
  <si>
    <t>+n+""l-""+i+""</t>
  </si>
  <si>
    <t>-""+n+""h-""+a+""Z"")}}</t>
  </si>
  <si>
    <t>star-triangle-up"":{n:19</t>
  </si>
  <si>
    <t>r){if(m(e))return c;var n=l(t*h*.8</t>
  </si>
  <si>
    <t>i=l(.8*t</t>
  </si>
  <si>
    <t>a=l(1.6*t</t>
  </si>
  <si>
    <t>o=l(4*t</t>
  </si>
  <si>
    <t>s=""A ""+o+""</t>
  </si>
  <si>
    <t>+o+"" 0 0 1 "";return g(e</t>
  </si>
  <si>
    <t>+i+s+""0</t>
  </si>
  <si>
    <t>+i+""Z"")}}</t>
  </si>
  <si>
    <t>star-triangle-down"":{n:20</t>
  </si>
  <si>
    <t>-""+i+s+""0</t>
  </si>
  <si>
    <t>-""+i+""Z"")}}</t>
  </si>
  <si>
    <t>star-square"":{n:21</t>
  </si>
  <si>
    <t>r){if(m(e))return c;var n=l(1.1*t</t>
  </si>
  <si>
    <t>i=l(2*t</t>
  </si>
  <si>
    <t>a=""A ""+i+""</t>
  </si>
  <si>
    <t>+i+"" 0 0 1 "";return g(e</t>
  </si>
  <si>
    <t>star-diamond"":{n:22</t>
  </si>
  <si>
    <t>r){if(m(e))return c;var n=l(1.4*t</t>
  </si>
  <si>
    <t>i=l(1.9*t</t>
  </si>
  <si>
    <t>0""+a+""0</t>
  </si>
  <si>
    <t>diamond-tall"":{n:23</t>
  </si>
  <si>
    <t>r){if(m(e))return c;var n=l(.7*t</t>
  </si>
  <si>
    <t>i=l(1.4*t</t>
  </si>
  <si>
    <t>+i+""L""+n+""</t>
  </si>
  <si>
    <t>-""+i+""L-""+n+""</t>
  </si>
  <si>
    <t>diamond-wide"":{n:24</t>
  </si>
  <si>
    <t>i=l(.7*t</t>
  </si>
  <si>
    <t>hourglass:{n:25</t>
  </si>
  <si>
    <t>+n+""H-""+n+""L""+n+""</t>
  </si>
  <si>
    <t>-""+n+""H-""+n+""Z"")}</t>
  </si>
  <si>
    <t>noDot:!0}</t>
  </si>
  <si>
    <t>bowtie:{n:26</t>
  </si>
  <si>
    <t>+n+""V-""+n+""L-""+n+""</t>
  </si>
  <si>
    <t>+n+""V-""+n+""Z"")}</t>
  </si>
  <si>
    <t>circle-cross"":{n:27</t>
  </si>
  <si>
    <t>+n+""V-""+n+""M""+n+""</t>
  </si>
  <si>
    <t>0H-""+n+""M""+n+""</t>
  </si>
  <si>
    <t>0Z"")}</t>
  </si>
  <si>
    <t>needLine:!0</t>
  </si>
  <si>
    <t>circle-x"":{n:28</t>
  </si>
  <si>
    <t>i=l(t/u</t>
  </si>
  <si>
    <t>+i+""L-""+i+""</t>
  </si>
  <si>
    <t>-""+i+""M""+i+""</t>
  </si>
  <si>
    <t>-""+i+""L-""+i+""</t>
  </si>
  <si>
    <t>+i+""M""+n+""</t>
  </si>
  <si>
    <t>square-cross"":{n:29</t>
  </si>
  <si>
    <t>+n+""H-""+n+""V-""+n+""H""+n+""Z"")}</t>
  </si>
  <si>
    <t>square-x"":{n:30</t>
  </si>
  <si>
    <t>-""+n+""M""+n+""</t>
  </si>
  <si>
    <t>-""+n+""L-""+n+""</t>
  </si>
  <si>
    <t>+n+""M""+n+""</t>
  </si>
  <si>
    <t>diamond-cross"":{n:31</t>
  </si>
  <si>
    <t>-""+n+""ZM0</t>
  </si>
  <si>
    <t>-""+n+""V""+n+""M-""+n+""</t>
  </si>
  <si>
    <t>0H""+n)}</t>
  </si>
  <si>
    <t>diamond-x"":{n:32</t>
  </si>
  <si>
    <t>i=l(.65*t</t>
  </si>
  <si>
    <t>-""+n+""ZM-""+i+""</t>
  </si>
  <si>
    <t>-""+i+""L""+i+""</t>
  </si>
  <si>
    <t>+i+""M-""+i+""</t>
  </si>
  <si>
    <t>+i+""L""+i+""</t>
  </si>
  <si>
    <t>-""+i)}</t>
  </si>
  <si>
    <t>cross-thin"":{n:33</t>
  </si>
  <si>
    <t>0H-""+n)}</t>
  </si>
  <si>
    <t>noDot:!0</t>
  </si>
  <si>
    <t>noFill:!0}</t>
  </si>
  <si>
    <t>x-thin"":{n:34</t>
  </si>
  <si>
    <t>+n)}</t>
  </si>
  <si>
    <t>asterisk:{n:35</t>
  </si>
  <si>
    <t>r){if(m(e))return c;var n=l(1.2*t</t>
  </si>
  <si>
    <t>i=l(.85*t</t>
  </si>
  <si>
    <t>0H-""+n+""M""+i+""</t>
  </si>
  <si>
    <t>+i)}</t>
  </si>
  <si>
    <t>hash:{n:36</t>
  </si>
  <si>
    <t>r){if(m(e))return c;var n=l(t/2</t>
  </si>
  <si>
    <t>i=l(t</t>
  </si>
  <si>
    <t>+i+""V-""+i+""M""+(n-i)+""</t>
  </si>
  <si>
    <t>-""+i+""V""+i+""M""+i+""</t>
  </si>
  <si>
    <t>+n+""H-""+i+""M-""+i+""</t>
  </si>
  <si>
    <t>+(n-i)+""H""+i)}</t>
  </si>
  <si>
    <t>y-up"":{n:37</t>
  </si>
  <si>
    <t>i=l(1.6*t</t>
  </si>
  <si>
    <t>a=l(.8*t</t>
  </si>
  <si>
    <t>+a+""L0</t>
  </si>
  <si>
    <t>0M""+n+""</t>
  </si>
  <si>
    <t>0M0</t>
  </si>
  <si>
    <t>-""+i+""L0</t>
  </si>
  <si>
    <t>0"")}</t>
  </si>
  <si>
    <t>y-down"":{n:38</t>
  </si>
  <si>
    <t>-""+a+""L0</t>
  </si>
  <si>
    <t>+i+""L0</t>
  </si>
  <si>
    <t>y-left"":{n:39</t>
  </si>
  <si>
    <t>+n+""L0</t>
  </si>
  <si>
    <t>0M""+a+""</t>
  </si>
  <si>
    <t>-""+n+""L0</t>
  </si>
  <si>
    <t>0M-""+i+""</t>
  </si>
  <si>
    <t>y-right"":{n:40</t>
  </si>
  <si>
    <t>0M-""+a+""</t>
  </si>
  <si>
    <t>0M""+i+""</t>
  </si>
  <si>
    <t>line-ew"":{n:41</t>
  </si>
  <si>
    <t>line-ns"":{n:42</t>
  </si>
  <si>
    <t>+n+""V-""+n)}</t>
  </si>
  <si>
    <t>line-ne"":{n:43</t>
  </si>
  <si>
    <t>line-nw"":{n:44</t>
  </si>
  <si>
    <t>-""+n)}</t>
  </si>
  <si>
    <t>arrow-up"":{n:45</t>
  </si>
  <si>
    <t>0L-""+n+""</t>
  </si>
  <si>
    <t>+l(2*t</t>
  </si>
  <si>
    <t>2)+""H""+n+""Z"")}</t>
  </si>
  <si>
    <t>backoff:1</t>
  </si>
  <si>
    <t>arrow-down"":{n:46</t>
  </si>
  <si>
    <t>-""+l(2*t</t>
  </si>
  <si>
    <t>arrow-left"":{n:47</t>
  </si>
  <si>
    <t>r){if(m(e))return c;var n=l(2*t</t>
  </si>
  <si>
    <t>0L""+n+""</t>
  </si>
  <si>
    <t>-""+i+""V""+i+""Z"")}</t>
  </si>
  <si>
    <t>arrow-right"":{n:48</t>
  </si>
  <si>
    <t>arrow-bar-up"":{n:49</t>
  </si>
  <si>
    <t>0H""+n+""M0</t>
  </si>
  <si>
    <t>arrow-bar-down"":{n:50</t>
  </si>
  <si>
    <t>arrow-bar-left"":{n:51</t>
  </si>
  <si>
    <t>-""+i+""V""+i+""M0</t>
  </si>
  <si>
    <t>arrow-bar-right"":{n:52</t>
  </si>
  <si>
    <t>arrow:{n:53</t>
  </si>
  <si>
    <t>r){if(m(e))return c;var n=f/2.5</t>
  </si>
  <si>
    <t>i=2*t*p(n)</t>
  </si>
  <si>
    <t>a=2*t*d(n);return g(e</t>
  </si>
  <si>
    <t>0L""+-i+""</t>
  </si>
  <si>
    <t>+a+""L""+i+""</t>
  </si>
  <si>
    <t>+a+""Z"")}</t>
  </si>
  <si>
    <t>backoff:.9</t>
  </si>
  <si>
    <t>arrow-wide"":{n:54</t>
  </si>
  <si>
    <t>r){if(m(e))return c;var n=f/4</t>
  </si>
  <si>
    <t>+a+""A ""+2*t+""</t>
  </si>
  <si>
    <t>+2*t+"" 0 0 1 ""+i+""</t>
  </si>
  <si>
    <t>backoff:.4</t>
  </si>
  <si>
    <t>noDot:!0}}}</t>
  </si>
  <si>
    <t>75568:function(t){""use strict"";t.exports={visible:{valType:""boolean""</t>
  </si>
  <si>
    <t>type:{valType:""enumerated""</t>
  </si>
  <si>
    <t>values:[""percent""</t>
  </si>
  <si>
    <t>constant""</t>
  </si>
  <si>
    <t>sqrt""</t>
  </si>
  <si>
    <t>data""]</t>
  </si>
  <si>
    <t>symmetric:{valType:""boolean""</t>
  </si>
  <si>
    <t>array:{valType:""data_array""</t>
  </si>
  <si>
    <t>arrayminus:{valType:""data_array""</t>
  </si>
  <si>
    <t>value:{valType:""number""</t>
  </si>
  <si>
    <t>dflt:10</t>
  </si>
  <si>
    <t>valueminus:{valType:""number""</t>
  </si>
  <si>
    <t>traceref:{valType:""integer""</t>
  </si>
  <si>
    <t>dflt:0</t>
  </si>
  <si>
    <t>tracerefminus:{valType:""integer""</t>
  </si>
  <si>
    <t>copy_ystyle:{valType:""boolean""</t>
  </si>
  <si>
    <t>copy_zstyle:{valType:""boolean""</t>
  </si>
  <si>
    <t>color:{valType:""color""</t>
  </si>
  <si>
    <t>dflt:2</t>
  </si>
  <si>
    <t>width:{valType:""number""</t>
  </si>
  <si>
    <t>_deprecated:{opacity:{valType:""number""</t>
  </si>
  <si>
    <t>editType:""style""}}}}</t>
  </si>
  <si>
    <t>352:function(t</t>
  </si>
  <si>
    <t>i=r(33626)</t>
  </si>
  <si>
    <t>a=r(29714)</t>
  </si>
  <si>
    <t>s=r(25589);function l(t</t>
  </si>
  <si>
    <t>i){var l=e[""error_""+i]||{}</t>
  </si>
  <si>
    <t>c=[];if(l.visible&amp;&amp;-1!==[""linear""</t>
  </si>
  <si>
    <t>log""].indexOf(r.type)){for(var u=s(l)</t>
  </si>
  <si>
    <t>h=0;h&lt;t.length;h++){var f=t[h]</t>
  </si>
  <si>
    <t>p=f.i;if(void 0===p)p=h;else if(null===p)continue;var d=f[i];if(n(r.c2l(d))){var m=u(d</t>
  </si>
  <si>
    <t>p);if(n(m[0])&amp;&amp;n(m[1])){var g=f[i+""s""]=d-m[0]</t>
  </si>
  <si>
    <t>y=f[i+""h""]=d+m[1];c.push(g</t>
  </si>
  <si>
    <t>y)}}}var v=r._id</t>
  </si>
  <si>
    <t>x=e._extremes[v]</t>
  </si>
  <si>
    <t>_=a.findExtremes(r</t>
  </si>
  <si>
    <t>o.extendFlat({tozero:x.opts.tozero}</t>
  </si>
  <si>
    <t>{padded:!0}));x.min=x.min.concat(_.min)</t>
  </si>
  <si>
    <t>x.max=x.max.concat(_.max)}}t.exports=function(t){for(var e=t.calcdata</t>
  </si>
  <si>
    <t>r=0;r&lt;e.length;r++){var n=e[r]</t>
  </si>
  <si>
    <t>o=n[0].trace;if(!0===o.visible&amp;&amp;i.traceIs(o</t>
  </si>
  <si>
    <t>errorBarsOK"")){var s=a.getFromId(t</t>
  </si>
  <si>
    <t>o.xaxis)</t>
  </si>
  <si>
    <t>c=a.getFromId(t</t>
  </si>
  <si>
    <t>o.yaxis);l(n</t>
  </si>
  <si>
    <t>l(n</t>
  </si>
  <si>
    <t>y"")}}}}</t>
  </si>
  <si>
    <t>25589:function(t){""use strict"";function e(t</t>
  </si>
  <si>
    <t>e){return""percent""===t?function(t){return Math.abs(t*e/100)}:""constant""===t?function(){return Math.abs(e)}:""sqrt""===t?function(t){return Math.sqrt(Math.abs(t))}:void 0}t.exports=function(t){var r=t.type</t>
  </si>
  <si>
    <t>n=t.symmetric;if(""data""===r){var i=t.array||[];if(n)return function(t</t>
  </si>
  <si>
    <t>e){var r=+i[e];return[r</t>
  </si>
  <si>
    <t>r]};var a=t.arrayminus||[];return function(t</t>
  </si>
  <si>
    <t>e){var r=+i[e]</t>
  </si>
  <si>
    <t>n=+a[e];return isNaN(r)&amp;&amp;isNaN(n)?[NaN</t>
  </si>
  <si>
    <t>NaN]:[n||0</t>
  </si>
  <si>
    <t>r||0]}}var o=e(r</t>
  </si>
  <si>
    <t>t.value)</t>
  </si>
  <si>
    <t>s=e(r</t>
  </si>
  <si>
    <t>t.valueminus);return n||void 0===t.valueminus?function(t){var e=o(t);return[e</t>
  </si>
  <si>
    <t>e]}:function(t){return[s(t)</t>
  </si>
  <si>
    <t>o(t)]}}}</t>
  </si>
  <si>
    <t>5543:function(t</t>
  </si>
  <si>
    <t>a=r(34809)</t>
  </si>
  <si>
    <t>o=r(78032)</t>
  </si>
  <si>
    <t>s=r(75568);t.exports=function(t</t>
  </si>
  <si>
    <t>l){var c=""error_""+l.axis</t>
  </si>
  <si>
    <t>u=o.newContainer(e</t>
  </si>
  <si>
    <t>c)</t>
  </si>
  <si>
    <t>h=t[c]||{};function f(t</t>
  </si>
  <si>
    <t>e){return a.coerce(h</t>
  </si>
  <si>
    <t>e)}if(!1!==f(""visible""</t>
  </si>
  <si>
    <t>void 0!==h.array||void 0!==h.value||""sqrt""===h.type)){var p=f(""type""</t>
  </si>
  <si>
    <t>array""in h?""data"":""percent"")</t>
  </si>
  <si>
    <t>d=!0;""sqrt""!==p&amp;&amp;(d=f(""symmetric""</t>
  </si>
  <si>
    <t>!((""data""===p?""arrayminus"":""valueminus"")in h)))</t>
  </si>
  <si>
    <t>data""===p?(f(""array"")</t>
  </si>
  <si>
    <t>f(""traceref"")</t>
  </si>
  <si>
    <t>d||(f(""arrayminus"")</t>
  </si>
  <si>
    <t>f(""tracerefminus""))):""percent""!==p&amp;&amp;""constant""!==p||(f(""value"")</t>
  </si>
  <si>
    <t>d||f(""valueminus""));var m=""copy_""+l.inherit+""style"";l.inherit&amp;&amp;(e[""error_""+l.inherit]||{}).visible&amp;&amp;f(m</t>
  </si>
  <si>
    <t>!(h.color||n(h.thickness)||n(h.width)))</t>
  </si>
  <si>
    <t>l.inherit&amp;&amp;u[m]||(f(""color""</t>
  </si>
  <si>
    <t>f(""thickness"")</t>
  </si>
  <si>
    <t>f(""width""</t>
  </si>
  <si>
    <t>i.traceIs(e</t>
  </si>
  <si>
    <t>gl3d"")?0:4))}}}</t>
  </si>
  <si>
    <t>77901:function(t</t>
  </si>
  <si>
    <t>i=r(13582).overrideAll</t>
  </si>
  <si>
    <t>a=r(75568)</t>
  </si>
  <si>
    <t>o={error_x:n.extendFlat({}</t>
  </si>
  <si>
    <t>error_y:n.extendFlat({}</t>
  </si>
  <si>
    <t>a)};delete o.error_x.copy_zstyle</t>
  </si>
  <si>
    <t>delete o.error_y.copy_zstyle</t>
  </si>
  <si>
    <t>delete o.error_y.copy_ystyle;var s={error_x:n.extendFlat({}</t>
  </si>
  <si>
    <t>error_z:n.extendFlat({}</t>
  </si>
  <si>
    <t>a)};delete s.error_x.copy_ystyle</t>
  </si>
  <si>
    <t>delete s.error_y.copy_ystyle</t>
  </si>
  <si>
    <t>delete s.error_z.copy_ystyle</t>
  </si>
  <si>
    <t>delete s.error_z.copy_zstyle</t>
  </si>
  <si>
    <t>t.exports={moduleType:""component""</t>
  </si>
  <si>
    <t>name:""errorbars""</t>
  </si>
  <si>
    <t>schema:{traces:{scatter:o</t>
  </si>
  <si>
    <t>bar:o</t>
  </si>
  <si>
    <t>histogram:o</t>
  </si>
  <si>
    <t>scatter3d:i(s</t>
  </si>
  <si>
    <t>calc""</t>
  </si>
  <si>
    <t>nested"")</t>
  </si>
  <si>
    <t>scattergl:i(o</t>
  </si>
  <si>
    <t>nested"")}}</t>
  </si>
  <si>
    <t>supplyDefaults:r(5543)</t>
  </si>
  <si>
    <t>calc:r(352)</t>
  </si>
  <si>
    <t>makeComputeError:r(25589)</t>
  </si>
  <si>
    <t>plot:r(42130)</t>
  </si>
  <si>
    <t>style:r(22800)</t>
  </si>
  <si>
    <t>hoverInfo:function(t</t>
  </si>
  <si>
    <t>r){(e.error_y||{}).visible&amp;&amp;(r.yerr=t.yh-t.y</t>
  </si>
  <si>
    <t>e.error_y.symmetric||(r.yerrneg=t.y-t.ys))</t>
  </si>
  <si>
    <t>(e.error_x||{}).visible&amp;&amp;(r.xerr=t.xh-t.x</t>
  </si>
  <si>
    <t>e.error_x.symmetric||(r.xerrneg=t.x-t.xs))}}}</t>
  </si>
  <si>
    <t>42130:function(t</t>
  </si>
  <si>
    <t>a=r(62203)</t>
  </si>
  <si>
    <t>o=r(64726);t.exports=function(t</t>
  </si>
  <si>
    <t>s){var l=r.xaxis</t>
  </si>
  <si>
    <t>c=r.yaxis</t>
  </si>
  <si>
    <t>u=s&amp;&amp;s.duration&gt;0</t>
  </si>
  <si>
    <t>h=t._context.staticPlot;e.each((function(e){var f</t>
  </si>
  <si>
    <t>p=e[0].trace</t>
  </si>
  <si>
    <t>d=p.error_x||{}</t>
  </si>
  <si>
    <t>m=p.error_y||{};p.ids&amp;&amp;(f=function(t){return t.id});var g=o.hasMarkers(p)&amp;&amp;p.marker.maxdisplayed&gt;0;m.visible||d.visible||(e=[]);var y=n.select(this).selectAll(""g.errorbar"").data(e</t>
  </si>
  <si>
    <t>f);if(y.exit().remove()</t>
  </si>
  <si>
    <t>e.length){d.visible||y.selectAll(""path.xerror"").remove()</t>
  </si>
  <si>
    <t>m.visible||y.selectAll(""path.yerror"").remove()</t>
  </si>
  <si>
    <t>y.style(""opacity""</t>
  </si>
  <si>
    <t>1);var v=y.enter().append(""g"").classed(""errorbar""</t>
  </si>
  <si>
    <t>!0);u&amp;&amp;v.style(""opacity""</t>
  </si>
  <si>
    <t>0).transition().duration(s.duration).style(""opacity""</t>
  </si>
  <si>
    <t>1)</t>
  </si>
  <si>
    <t>a.setClipUrl(y</t>
  </si>
  <si>
    <t>r.layerClipId</t>
  </si>
  <si>
    <t>t)</t>
  </si>
  <si>
    <t>y.each((function(t){var e=n.select(this)</t>
  </si>
  <si>
    <t>r=function(t</t>
  </si>
  <si>
    <t>r){var n={x:e.c2p(t.x)</t>
  </si>
  <si>
    <t>y:r.c2p(t.y)};return void 0!==t.yh&amp;&amp;(n.yh=r.c2p(t.yh)</t>
  </si>
  <si>
    <t>n.ys=r.c2p(t.ys)</t>
  </si>
  <si>
    <t>i(n.ys)||(n.noYS=!0</t>
  </si>
  <si>
    <t>n.ys=r.c2p(t.ys</t>
  </si>
  <si>
    <t>!0)))</t>
  </si>
  <si>
    <t>void 0!==t.xh&amp;&amp;(n.xh=e.c2p(t.xh)</t>
  </si>
  <si>
    <t>n.xs=e.c2p(t.xs)</t>
  </si>
  <si>
    <t>i(n.xs)||(n.noXS=!0</t>
  </si>
  <si>
    <t>n.xs=e.c2p(t.xs</t>
  </si>
  <si>
    <t>n}(t</t>
  </si>
  <si>
    <t>c);if(!g||t.vis){var a</t>
  </si>
  <si>
    <t>o=e.select(""path.yerror"");if(m.visible&amp;&amp;i(r.x)&amp;&amp;i(r.yh)&amp;&amp;i(r.ys)){var f=m.width;a=""M""+(r.x-f)+""</t>
  </si>
  <si>
    <t>+r.yh+""h""+2*f+""m-""+f+""</t>
  </si>
  <si>
    <t>0V""+r.ys</t>
  </si>
  <si>
    <t>r.noYS||(a+=""m-""+f+""</t>
  </si>
  <si>
    <t>0h""+2*f)</t>
  </si>
  <si>
    <t>o.size()?u&amp;&amp;(o=o.transition().duration(s.duration).ease(s.easing)):o=e.append(""path"").style(""vector-effect""</t>
  </si>
  <si>
    <t>h?""none"":""non-scaling-stroke"").classed(""yerror""</t>
  </si>
  <si>
    <t>o.attr(""d""</t>
  </si>
  <si>
    <t>a)}else o.remove();var p=e.select(""path.xerror"");if(d.visible&amp;&amp;i(r.y)&amp;&amp;i(r.xh)&amp;&amp;i(r.xs)){var y=(d.copy_ystyle?m:d).width;a=""M""+r.xh+""</t>
  </si>
  <si>
    <t>+(r.y-y)+""v""+2*y+""m0</t>
  </si>
  <si>
    <t>-""+y+""H""+r.xs</t>
  </si>
  <si>
    <t>r.noXS||(a+=""m0</t>
  </si>
  <si>
    <t>-""+y+""v""+2*y)</t>
  </si>
  <si>
    <t>p.size()?u&amp;&amp;(p=p.transition().duration(s.duration).ease(s.easing)):p=e.append(""path"").style(""vector-effect""</t>
  </si>
  <si>
    <t>h?""none"":""non-scaling-stroke"").classed(""xerror""</t>
  </si>
  <si>
    <t>p.attr(""d""</t>
  </si>
  <si>
    <t>a)}else p.remove()}}))}}))}}</t>
  </si>
  <si>
    <t>22800:function(t</t>
  </si>
  <si>
    <t>i=r(78766);t.exports=function(t){t.each((function(t){var e=t[0].trace</t>
  </si>
  <si>
    <t>r=e.error_y||{}</t>
  </si>
  <si>
    <t>a=e.error_x||{}</t>
  </si>
  <si>
    <t>o=n.select(this);o.selectAll(""path.yerror"").style(""stroke-width""</t>
  </si>
  <si>
    <t>r.thickness+""px"").call(i.stroke</t>
  </si>
  <si>
    <t>r.color)</t>
  </si>
  <si>
    <t>a.copy_ystyle&amp;&amp;(a=r)</t>
  </si>
  <si>
    <t>o.selectAll(""path.xerror"").style(""stroke-width""</t>
  </si>
  <si>
    <t>a.thickness+""px"").call(i.stroke</t>
  </si>
  <si>
    <t>a.color)}))}}</t>
  </si>
  <si>
    <t>70192:function(t</t>
  </si>
  <si>
    <t>r){""use strict"";var n=r(80337)</t>
  </si>
  <si>
    <t>i=r(6811).hoverlabel</t>
  </si>
  <si>
    <t>a=r(93049).extendFlat;t.exports={hoverlabel:{bgcolor:a({}</t>
  </si>
  <si>
    <t>i.bgcolor</t>
  </si>
  <si>
    <t>{arrayOk:!0})</t>
  </si>
  <si>
    <t>bordercolor:a({}</t>
  </si>
  <si>
    <t>i.bordercolor</t>
  </si>
  <si>
    <t>font:n({arrayOk:!0</t>
  </si>
  <si>
    <t>editType:""none""})</t>
  </si>
  <si>
    <t>align:a({}</t>
  </si>
  <si>
    <t>i.align</t>
  </si>
  <si>
    <t>namelength:a({}</t>
  </si>
  <si>
    <t>i.namelength</t>
  </si>
  <si>
    <t>editType:""none""}}}</t>
  </si>
  <si>
    <t>83552:function(t</t>
  </si>
  <si>
    <t>i=r(33626);function a(t</t>
  </si>
  <si>
    <t>i){i=i||n.identity</t>
  </si>
  <si>
    <t>Array.isArray(t)&amp;&amp;(e[0][r]=i(t))}t.exports=function(t){var e=t.calcdata</t>
  </si>
  <si>
    <t>r=t._fullLayout;function o(t){return function(e){return n.coerceHoverinfo({hoverinfo:e}</t>
  </si>
  <si>
    <t>{_module:t._module}</t>
  </si>
  <si>
    <t>r)}}for(var s=0;s&lt;e.length;s++){var l=e[s]</t>
  </si>
  <si>
    <t>c=l[0].trace;if(!i.traceIs(c</t>
  </si>
  <si>
    <t>pie-like"")){var u=i.traceIs(c</t>
  </si>
  <si>
    <t>2dMap"")?a:n.fillArray;u(c.hoverinfo</t>
  </si>
  <si>
    <t>hi""</t>
  </si>
  <si>
    <t>o(c))</t>
  </si>
  <si>
    <t>c.hovertemplate&amp;&amp;u(c.hovertemplate</t>
  </si>
  <si>
    <t>ht"")</t>
  </si>
  <si>
    <t>c.hoverlabel&amp;&amp;(u(c.hoverlabel.bgcolor</t>
  </si>
  <si>
    <t>hbg"")</t>
  </si>
  <si>
    <t>u(c.hoverlabel.bordercolor</t>
  </si>
  <si>
    <t>hbc"")</t>
  </si>
  <si>
    <t>u(c.hoverlabel.font.size</t>
  </si>
  <si>
    <t>hts"")</t>
  </si>
  <si>
    <t>u(c.hoverlabel.font.color</t>
  </si>
  <si>
    <t>htc"")</t>
  </si>
  <si>
    <t>u(c.hoverlabel.font.family</t>
  </si>
  <si>
    <t>htf"")</t>
  </si>
  <si>
    <t>u(c.hoverlabel.font.weight</t>
  </si>
  <si>
    <t>htw"")</t>
  </si>
  <si>
    <t>u(c.hoverlabel.font.style</t>
  </si>
  <si>
    <t>hty"")</t>
  </si>
  <si>
    <t>u(c.hoverlabel.font.variant</t>
  </si>
  <si>
    <t>htv"")</t>
  </si>
  <si>
    <t>u(c.hoverlabel.namelength</t>
  </si>
  <si>
    <t>hnl"")</t>
  </si>
  <si>
    <t>u(c.hoverlabel.align</t>
  </si>
  <si>
    <t>hta""))}}}}</t>
  </si>
  <si>
    <t>94225:function(t</t>
  </si>
  <si>
    <t>r){""use strict"";var n=r(33626)</t>
  </si>
  <si>
    <t>i=r(38103).hover;t.exports=function(t</t>
  </si>
  <si>
    <t>r){var a=n.getComponentMethod(""annotations""</t>
  </si>
  <si>
    <t>onClick"")(t</t>
  </si>
  <si>
    <t>t._hoverdata);function o(){t.emit(""plotly_click""</t>
  </si>
  <si>
    <t>{points:t._hoverdata</t>
  </si>
  <si>
    <t>event:e})}void 0!==r&amp;&amp;i(t</t>
  </si>
  <si>
    <t>t._hoverdata&amp;&amp;e&amp;&amp;e.target&amp;&amp;(a&amp;&amp;a.then?a.then(o):o()</t>
  </si>
  <si>
    <t>e.stopImmediatePropagation&amp;&amp;e.stopImmediatePropagation())}}</t>
  </si>
  <si>
    <t>85988:function(t){""use strict"";t.exports={YANGLE:60</t>
  </si>
  <si>
    <t>HOVERARROWSIZE:6</t>
  </si>
  <si>
    <t>HOVERTEXTPAD:3</t>
  </si>
  <si>
    <t>HOVERFONTSIZE:13</t>
  </si>
  <si>
    <t>HOVERFONT:""Arial</t>
  </si>
  <si>
    <t xml:space="preserve"> sans-serif""</t>
  </si>
  <si>
    <t>HOVERMINTIME:50</t>
  </si>
  <si>
    <t>HOVERID:""-hover""}}</t>
  </si>
  <si>
    <t>3239:function(t</t>
  </si>
  <si>
    <t>i=r(70192)</t>
  </si>
  <si>
    <t>a=r(26430);t.exports=function(t</t>
  </si>
  <si>
    <t>o){var s=n.extendFlat({}</t>
  </si>
  <si>
    <t>o.hoverlabel);e.hovertemplate&amp;&amp;(s.namelength=-1)</t>
  </si>
  <si>
    <t>a(t</t>
  </si>
  <si>
    <t>(function(r</t>
  </si>
  <si>
    <t>a){return n.coerce(t</t>
  </si>
  <si>
    <t>a)})</t>
  </si>
  <si>
    <t>s)}}</t>
  </si>
  <si>
    <t>36040:function(t</t>
  </si>
  <si>
    <t>r){""use strict"";var n=r(34809);e.getSubplot=function(t){return t.subplot||t.xaxis+t.yaxis||t.geo}</t>
  </si>
  <si>
    <t>e.isTraceInSubplots=function(t</t>
  </si>
  <si>
    <t>r){if(""splom""===t.type){for(var n=t.xaxes||[]</t>
  </si>
  <si>
    <t>i=t.yaxes||[]</t>
  </si>
  <si>
    <t>a=0;a&lt;n.length;a++)for(var o=0;o&lt;i.length;o++)if(-1!==r.indexOf(n[a]+i[o]))return!0;return!1}return-1!==r.indexOf(e.getSubplot(t))}</t>
  </si>
  <si>
    <t>e.flat=function(t</t>
  </si>
  <si>
    <t>e){for(var r=new Array(t.length)</t>
  </si>
  <si>
    <t>n=0;n&lt;t.length;n++)r[n]=e;return r}</t>
  </si>
  <si>
    <t>e.p2c=function(t</t>
  </si>
  <si>
    <t>n=0;n&lt;t.length;n++)r[n]=t[n].p2c(e);return r}</t>
  </si>
  <si>
    <t>e.getDistanceFunction=function(t</t>
  </si>
  <si>
    <t>i){return""closest""===t?i||e.quadrature(r</t>
  </si>
  <si>
    <t>n):""x""===t.charAt(0)?r:n}</t>
  </si>
  <si>
    <t>e.getClosest=function(t</t>
  </si>
  <si>
    <t>r){if(!1!==r.index)r.index&gt;=0&amp;&amp;r.index&lt;t.length?r.distance=0:r.index=!1;else for(var n=0;n&lt;t.length;n++){var i=e(t[n]);i&lt;=r.distance&amp;&amp;(r.index=n</t>
  </si>
  <si>
    <t>r.distance=i)}return r}</t>
  </si>
  <si>
    <t>e.inbox=function(t</t>
  </si>
  <si>
    <t>r){return t*e&lt;0||0===t?r:1/0}</t>
  </si>
  <si>
    <t>e.quadrature=function(t</t>
  </si>
  <si>
    <t>e){return function(r){var n=t(r)</t>
  </si>
  <si>
    <t>i=e(r);return Math.sqrt(n*n+i*i)}}</t>
  </si>
  <si>
    <t>e.makeEventData=function(t</t>
  </si>
  <si>
    <t>n){var i=""index""in t?t.index:t.pointNumber</t>
  </si>
  <si>
    <t>a={data:r._input</t>
  </si>
  <si>
    <t>fullData:r</t>
  </si>
  <si>
    <t>curveNumber:r.index</t>
  </si>
  <si>
    <t>pointNumber:i};if(r._indexToPoints){var o=r._indexToPoints[i];1===o.length?a.pointIndex=o[0]:a.pointIndices=o}else a.pointIndex=i;return r._module.eventData?a=r._module.eventData(a</t>
  </si>
  <si>
    <t>i):(""xVal""in t?a.x=t.xVal:""x""in t&amp;&amp;(a.x=t.x)</t>
  </si>
  <si>
    <t>yVal""in t?a.y=t.yVal:""y""in t&amp;&amp;(a.y=t.y)</t>
  </si>
  <si>
    <t>t.xa&amp;&amp;(a.xaxis=t.xa)</t>
  </si>
  <si>
    <t>t.ya&amp;&amp;(a.yaxis=t.ya)</t>
  </si>
  <si>
    <t>void 0!==t.zLabelVal&amp;&amp;(a.z=t.zLabelVal))</t>
  </si>
  <si>
    <t>e.appendArrayPointValue(a</t>
  </si>
  <si>
    <t>e.appendArrayPointValue=function(t</t>
  </si>
  <si>
    <t>r){var i=e._arrayAttrs;if(i)for(var s=0;s&lt;i.length;s++){var l=i[s]</t>
  </si>
  <si>
    <t>c=a(l);if(void 0===t[c]){var u=o(n.nestedProperty(e</t>
  </si>
  <si>
    <t>l).get()</t>
  </si>
  <si>
    <t>r);void 0!==u&amp;&amp;(t[c]=u)}}}</t>
  </si>
  <si>
    <t>e.appendArrayMultiPointValues=function(t</t>
  </si>
  <si>
    <t>c=a(l);if(void 0===t[c]){for(var u=n.nestedProperty(e</t>
  </si>
  <si>
    <t>h=new Array(r.length)</t>
  </si>
  <si>
    <t>f=0;f&lt;r.length;f++)h[f]=o(u</t>
  </si>
  <si>
    <t>r[f]);t[c]=h}}};var i={ids:""id""</t>
  </si>
  <si>
    <t>locations:""location""</t>
  </si>
  <si>
    <t>labels:""label""</t>
  </si>
  <si>
    <t>values:""value""</t>
  </si>
  <si>
    <t>marker.colors"":""color""</t>
  </si>
  <si>
    <t>parents:""parent""};function a(t){return i[t]||t}function o(t</t>
  </si>
  <si>
    <t>e){return Array.isArray(e)?Array.isArray(t)&amp;&amp;Array.isArray(t[e[0]])?t[e[0]][e[1]]:void 0:t[e]}var s={x:!0</t>
  </si>
  <si>
    <t>y:!0}</t>
  </si>
  <si>
    <t>l={""x unified"":!0</t>
  </si>
  <si>
    <t>y unified"":!0};e.isUnifiedHover=function(t){return""string""==typeof t&amp;&amp;!!l[t]}</t>
  </si>
  <si>
    <t>e.isXYhover=function(t){return""string""==typeof t&amp;&amp;!!s[t]}}</t>
  </si>
  <si>
    <t>38103:function(t</t>
  </si>
  <si>
    <t>a=r(65657)</t>
  </si>
  <si>
    <t>s=o.pushUnique</t>
  </si>
  <si>
    <t>l=o.strTranslate</t>
  </si>
  <si>
    <t>c=o.strRotate</t>
  </si>
  <si>
    <t>u=r(68596)</t>
  </si>
  <si>
    <t>h=r(30635)</t>
  </si>
  <si>
    <t>f=r(93134)</t>
  </si>
  <si>
    <t>m=r(14751)</t>
  </si>
  <si>
    <t>g=r(29714)</t>
  </si>
  <si>
    <t>y=r(54826).zindexSeparator</t>
  </si>
  <si>
    <t>v=r(33626)</t>
  </si>
  <si>
    <t>x=r(36040)</t>
  </si>
  <si>
    <t>_=r(85988)</t>
  </si>
  <si>
    <t>b=r(73970)</t>
  </si>
  <si>
    <t>w=r(6134)</t>
  </si>
  <si>
    <t>T=_.YANGLE</t>
  </si>
  <si>
    <t>k=Math.PI*T/180</t>
  </si>
  <si>
    <t>A=1/Math.sin(k)</t>
  </si>
  <si>
    <t>M=Math.cos(k)</t>
  </si>
  <si>
    <t>S=Math.sin(k)</t>
  </si>
  <si>
    <t>E=_.HOVERARROWSIZE</t>
  </si>
  <si>
    <t>C=_.HOVERTEXTPAD</t>
  </si>
  <si>
    <t>L={box:!0</t>
  </si>
  <si>
    <t>ohlc:!0</t>
  </si>
  <si>
    <t>violin:!0</t>
  </si>
  <si>
    <t>candlestick:!0}</t>
  </si>
  <si>
    <t>I={scatter:!0</t>
  </si>
  <si>
    <t>scattergl:!0</t>
  </si>
  <si>
    <t>splom:!0};function P(t</t>
  </si>
  <si>
    <t>e){return t.distance-e.distance}function z(t){return[t.trace.index</t>
  </si>
  <si>
    <t>t.index</t>
  </si>
  <si>
    <t>t.x0</t>
  </si>
  <si>
    <t>t.y0</t>
  </si>
  <si>
    <t>t.name</t>
  </si>
  <si>
    <t>t.attr</t>
  </si>
  <si>
    <t>t.xa?t.xa._id:""""</t>
  </si>
  <si>
    <t>t.ya?t.ya._id:""""].join(""</t>
  </si>
  <si>
    <t>)}e.hover=function(t</t>
  </si>
  <si>
    <t>a){t=o.getGraphDiv(t);var l=e.target;o.throttle(t._fullLayout._uid+_.HOVERID</t>
  </si>
  <si>
    <t>_.HOVERMINTIME</t>
  </si>
  <si>
    <t>(function(){!function(t</t>
  </si>
  <si>
    <t>l){r||(r=""xy"")</t>
  </si>
  <si>
    <t>string""==typeof r&amp;&amp;(r=r.split(y)[0]);var c</t>
  </si>
  <si>
    <t>_=Array.isArray(r)?r:[r]</t>
  </si>
  <si>
    <t>b=t._fullLayout</t>
  </si>
  <si>
    <t>w=b.hoversubplots</t>
  </si>
  <si>
    <t>T=b._plots||[]</t>
  </si>
  <si>
    <t>k=T[r]</t>
  </si>
  <si>
    <t>M=b._has(""cartesian"")</t>
  </si>
  <si>
    <t>S=e.hovermode||b.hovermode</t>
  </si>
  <si>
    <t>C=""x""===(S||"""").charAt(0)</t>
  </si>
  <si>
    <t>O=""y""===(S||"""").charAt(0);if(M&amp;&amp;(C||O)&amp;&amp;""axis""===w)for(var R=_.length</t>
  </si>
  <si>
    <t>V=0;V&lt;R;V++)if(T[c=_[V]]){h=g.getFromId(t</t>
  </si>
  <si>
    <t>p=g.getFromId(t</t>
  </si>
  <si>
    <t>y"");var Z=(C?h:p)._subplotsWith;if(Z&amp;&amp;Z.length)for(var W=0;W&lt;Z.length;W++)s(_</t>
  </si>
  <si>
    <t>Z[W])}if(k&amp;&amp;""single""!==w){var Y=k.overlays.map((function(t){return t.id}));_=_.concat(Y)}for(var X=_.length</t>
  </si>
  <si>
    <t>$=new Array(X)</t>
  </si>
  <si>
    <t>J=new Array(X)</t>
  </si>
  <si>
    <t>K=!1</t>
  </si>
  <si>
    <t>Q=0;Q&lt;X;Q++)if(T[c=_[Q]])K=!0</t>
  </si>
  <si>
    <t>$[Q]=T[c].xaxis</t>
  </si>
  <si>
    <t>J[Q]=T[c].yaxis;else{if(!b[c]||!b[c]._subplot)return void o.warn(""Unrecognized subplot: ""+c);var tt=b[c]._subplot;$[Q]=tt.xaxis</t>
  </si>
  <si>
    <t>J[Q]=tt.yaxis}if(S&amp;&amp;!K&amp;&amp;(S=""closest"")</t>
  </si>
  <si>
    <t>-1===[""x""</t>
  </si>
  <si>
    <t>y""</t>
  </si>
  <si>
    <t>closest""</t>
  </si>
  <si>
    <t>x unified""</t>
  </si>
  <si>
    <t>y unified""].indexOf(S)||!t.calcdata||t.querySelector("".zoombox"")||t._dragging)return m.unhoverRaw(t</t>
  </si>
  <si>
    <t>e);var et=b.hoverdistance;-1===et&amp;&amp;(et=1/0);var rt=b.spikedistance;-1===rt&amp;&amp;(rt=1/0);var nt</t>
  </si>
  <si>
    <t>it</t>
  </si>
  <si>
    <t>at</t>
  </si>
  <si>
    <t>ot</t>
  </si>
  <si>
    <t>st</t>
  </si>
  <si>
    <t>ct</t>
  </si>
  <si>
    <t>ut</t>
  </si>
  <si>
    <t>ht</t>
  </si>
  <si>
    <t>ft</t>
  </si>
  <si>
    <t>pt</t>
  </si>
  <si>
    <t>dt</t>
  </si>
  <si>
    <t>mt</t>
  </si>
  <si>
    <t>gt=[]</t>
  </si>
  <si>
    <t>yt=[]</t>
  </si>
  <si>
    <t>vt={hLinePoint:null</t>
  </si>
  <si>
    <t>vLinePoint:null}</t>
  </si>
  <si>
    <t>xt=!1;if(Array.isArray(e))for(S=""array""</t>
  </si>
  <si>
    <t>at=0;at&lt;e.length;at++)(st=t.calcdata[e[at].curveNumber||0])&amp;&amp;(lt=st[0].trace</t>
  </si>
  <si>
    <t>skip""!==st[0].trace.hoverinfo&amp;&amp;(yt.push(st)</t>
  </si>
  <si>
    <t>h""===lt.orientation&amp;&amp;(xt=!0)));else{var _t</t>
  </si>
  <si>
    <t>bt</t>
  </si>
  <si>
    <t>wt=t.calcdata.slice();for(wt.sort((function(t</t>
  </si>
  <si>
    <t>e){return(t[0].trace.zorder||0)-(e[0].trace.zorder||0)}))</t>
  </si>
  <si>
    <t>ot=0;ot&lt;wt.length;ot++)st=wt[ot]</t>
  </si>
  <si>
    <t>skip""!==(lt=st[0].trace).hoverinfo&amp;&amp;x.isTraceInSubplots(lt</t>
  </si>
  <si>
    <t>_)&amp;&amp;(yt.push(st)</t>
  </si>
  <si>
    <t>h""===lt.orientation&amp;&amp;(xt=!0));if(l){if(!1===u.triggerHandler(t</t>
  </si>
  <si>
    <t>e))return;var Tt=l.getBoundingClientRect();_t=e.clientX-Tt.left</t>
  </si>
  <si>
    <t>bt=e.clientY-Tt.top</t>
  </si>
  <si>
    <t>b._calcInverseTransform(t);var kt=o.apply3DTransform(b._invTransform)(_t</t>
  </si>
  <si>
    <t>bt);if(_t=kt[0]</t>
  </si>
  <si>
    <t>bt=kt[1]</t>
  </si>
  <si>
    <t>_t&lt;0||_t&gt;$[0]._length||bt&lt;0||bt&gt;J[0]._length)return m.unhoverRaw(t</t>
  </si>
  <si>
    <t>e)}else _t=""xpx""in e?e.xpx:$[0]._length/2</t>
  </si>
  <si>
    <t>bt=""ypx""in e?e.ypx:J[0]._length/2;if(e.pointerX=_t+$[0]._offset</t>
  </si>
  <si>
    <t>e.pointerY=bt+J[0]._offset</t>
  </si>
  <si>
    <t>nt=""xval""in e?x.flat(_</t>
  </si>
  <si>
    <t>e.xval):x.p2c($</t>
  </si>
  <si>
    <t>_t)</t>
  </si>
  <si>
    <t>it=""yval""in e?x.flat(_</t>
  </si>
  <si>
    <t>e.yval):x.p2c(J</t>
  </si>
  <si>
    <t>bt)</t>
  </si>
  <si>
    <t>!i(nt[0])||!i(it[0]))return o.warn(""Fx.hover failed""</t>
  </si>
  <si>
    <t>m.unhoverRaw(t</t>
  </si>
  <si>
    <t>e)}var At=1/0;function Mt(r</t>
  </si>
  <si>
    <t>n){for(ot=0;ot&lt;yt.length;ot++)if((st=yt[ot])&amp;&amp;st[0]&amp;&amp;st[0].trace&amp;&amp;!0===(lt=st[0].trace).visible&amp;&amp;0!==lt._length&amp;&amp;-1===[""carpet""</t>
  </si>
  <si>
    <t>contourcarpet""].indexOf(lt._module.name)){if(ht=S</t>
  </si>
  <si>
    <t>x.isUnifiedHover(ht)&amp;&amp;(ht=ht.charAt(0))</t>
  </si>
  <si>
    <t>splom""===lt.type?ct=_[ut=0]:(ct=x.getSubplot(lt)</t>
  </si>
  <si>
    <t>ut=_.indexOf(ct))</t>
  </si>
  <si>
    <t>dt={cd:st</t>
  </si>
  <si>
    <t>trace:lt</t>
  </si>
  <si>
    <t>xa:$[ut]</t>
  </si>
  <si>
    <t>ya:J[ut]</t>
  </si>
  <si>
    <t>maxHoverDistance:et</t>
  </si>
  <si>
    <t>maxSpikeDistance:rt</t>
  </si>
  <si>
    <t>index:!1</t>
  </si>
  <si>
    <t>distance:Math.min(At</t>
  </si>
  <si>
    <t>et)</t>
  </si>
  <si>
    <t>spikeDistance:1/0</t>
  </si>
  <si>
    <t>xSpike:void 0</t>
  </si>
  <si>
    <t>ySpike:void 0</t>
  </si>
  <si>
    <t>color:d.defaultLine</t>
  </si>
  <si>
    <t>name:lt.name</t>
  </si>
  <si>
    <t>x0:void 0</t>
  </si>
  <si>
    <t>x1:void 0</t>
  </si>
  <si>
    <t>y0:void 0</t>
  </si>
  <si>
    <t>y1:void 0</t>
  </si>
  <si>
    <t>xLabelVal:void 0</t>
  </si>
  <si>
    <t>yLabelVal:void 0</t>
  </si>
  <si>
    <t>zLabelVal:void 0</t>
  </si>
  <si>
    <t>text:void 0}</t>
  </si>
  <si>
    <t>b[ct]&amp;&amp;(dt.subplot=b[ct]._subplot)</t>
  </si>
  <si>
    <t>b._splomScenes&amp;&amp;b._splomScenes[lt.uid]&amp;&amp;(dt.scene=b._splomScenes[lt.uid])</t>
  </si>
  <si>
    <t>array""===ht){var a=e[ot];""pointNumber""in a?(dt.index=a.pointNumber</t>
  </si>
  <si>
    <t>ht=""closest""):(ht=""""</t>
  </si>
  <si>
    <t>xval""in a&amp;&amp;(ft=a.xval</t>
  </si>
  <si>
    <t>ht=""x"")</t>
  </si>
  <si>
    <t>yval""in a&amp;&amp;(pt=a.yval</t>
  </si>
  <si>
    <t>ht=ht?""closest"":""y""))}else void 0!==r&amp;&amp;void 0!==n?(ft=r</t>
  </si>
  <si>
    <t>pt=n):(ft=nt[ut]</t>
  </si>
  <si>
    <t>pt=it[ut]);if(mt=gt.length</t>
  </si>
  <si>
    <t>0!==et)if(lt._module&amp;&amp;lt._module.hoverPoints){var s=lt._module.hoverPoints(dt</t>
  </si>
  <si>
    <t>{finiteRange:!0</t>
  </si>
  <si>
    <t>hoverLayer:b._hoverlayer</t>
  </si>
  <si>
    <t>hoversubplots:w</t>
  </si>
  <si>
    <t>gd:t});if(s)for(var l</t>
  </si>
  <si>
    <t>c=0;c&lt;s.length;c++)l=s[c]</t>
  </si>
  <si>
    <t>i(l.x0)&amp;&amp;i(l.y0)&amp;&amp;gt.push(N(l</t>
  </si>
  <si>
    <t>S))}else o.log(""Unrecognized trace type in hover:""</t>
  </si>
  <si>
    <t>lt);if(""closest""===S&amp;&amp;gt.length&gt;mt&amp;&amp;(gt.splice(0</t>
  </si>
  <si>
    <t>mt)</t>
  </si>
  <si>
    <t>At=gt[0].distance)</t>
  </si>
  <si>
    <t>M&amp;&amp;0!==rt&amp;&amp;0===gt.length){dt.distance=rt</t>
  </si>
  <si>
    <t>dt.index=!1;var u=lt._module.hoverPoints(dt</t>
  </si>
  <si>
    <t>{hoverLayer:b._hoverlayer});if(u&amp;&amp;(u=u.filter((function(t){return t.spikeDistance&lt;=rt})))</t>
  </si>
  <si>
    <t>u&amp;&amp;u.length){var h</t>
  </si>
  <si>
    <t>f=u.filter((function(t){return t.xa.showspikes&amp;&amp;""hovered data""!==t.xa.spikesnap}));if(f.length){var p=f[0];i(p.x0)&amp;&amp;i(p.y0)&amp;&amp;(h=Et(p)</t>
  </si>
  <si>
    <t>(!vt.vLinePoint||vt.vLinePoint.spikeDistance&gt;h.spikeDistance)&amp;&amp;(vt.vLinePoint=h))}var m=u.filter((function(t){return t.ya.showspikes&amp;&amp;""hovered data""!==t.ya.spikesnap}));if(m.length){var g=m[0];i(g.x0)&amp;&amp;i(g.y0)&amp;&amp;(h=Et(g)</t>
  </si>
  <si>
    <t>(!vt.hLinePoint||vt.hLinePoint.spikeDistance&gt;h.spikeDistance)&amp;&amp;(vt.hLinePoint=h))}}}}}function St(t</t>
  </si>
  <si>
    <t>i=null</t>
  </si>
  <si>
    <t>a=1/0</t>
  </si>
  <si>
    <t>o=0;o&lt;t.length;o++)h&amp;&amp;h._id!==t[o].xa._id||p&amp;&amp;p._id!==t[o].ya._id||(n=t[o].spikeDistance</t>
  </si>
  <si>
    <t>r&amp;&amp;0===o&amp;&amp;(n=-1/0)</t>
  </si>
  <si>
    <t>n&lt;=a&amp;&amp;n&lt;=e&amp;&amp;(i=t[o]</t>
  </si>
  <si>
    <t>a=n));return i}function Et(t){return t?{xa:t.xa</t>
  </si>
  <si>
    <t>ya:t.ya</t>
  </si>
  <si>
    <t>x:void 0!==t.xSpike?t.xSpike:(t.x0+t.x1)/2</t>
  </si>
  <si>
    <t>y:void 0!==t.ySpike?t.ySpike:(t.y0+t.y1)/2</t>
  </si>
  <si>
    <t>distance:t.distance</t>
  </si>
  <si>
    <t>spikeDistance:t.spikeDistance</t>
  </si>
  <si>
    <t>curveNumber:t.trace.index</t>
  </si>
  <si>
    <t>color:t.color</t>
  </si>
  <si>
    <t>pointNumber:t.index}:null}Mt();var Ct={fullLayout:b</t>
  </si>
  <si>
    <t>container:b._hoverlayer</t>
  </si>
  <si>
    <t>event:e}</t>
  </si>
  <si>
    <t>Lt=t._spikepoints</t>
  </si>
  <si>
    <t>It={vLinePoint:vt.vLinePoint</t>
  </si>
  <si>
    <t>hLinePoint:vt.hLinePoint};t._spikepoints=It;var Pt=function(){var t=gt.filter((function(t){return h&amp;&amp;h._id===t.xa._id&amp;&amp;p&amp;&amp;p._id===t.ya._id}))</t>
  </si>
  <si>
    <t>e=gt.filter((function(t){return!(h&amp;&amp;h._id===t.xa._id&amp;&amp;p&amp;&amp;p._id===t.ya._id)}));t.sort(P)</t>
  </si>
  <si>
    <t>e.sort(P)</t>
  </si>
  <si>
    <t>gt=function(t</t>
  </si>
  <si>
    <t>e){for(var r=e.charAt(0)</t>
  </si>
  <si>
    <t>n=[]</t>
  </si>
  <si>
    <t>i=[]</t>
  </si>
  <si>
    <t>a=[]</t>
  </si>
  <si>
    <t>o=0;o&lt;t.length;o++){var s=t[o];v.traceIs(s.trace</t>
  </si>
  <si>
    <t>bar-like"")||v.traceIs(s.trace</t>
  </si>
  <si>
    <t>box-violin"")?a.push(s):s.trace[r+""period""]?i.push(s):n.push(s)}return n.concat(i).concat(a)}(gt=t.concat(e)</t>
  </si>
  <si>
    <t>S)};Pt();var zt=S.charAt(0)</t>
  </si>
  <si>
    <t>Ot=(""x""===zt||""y""===zt)&amp;&amp;gt[0]&amp;&amp;I[gt[0].trace.type];if(M&amp;&amp;0!==rt&amp;&amp;0!==gt.length){var Dt=St(gt.filter((function(t){return t.ya.showspikes}))</t>
  </si>
  <si>
    <t>rt</t>
  </si>
  <si>
    <t>Ot);vt.hLinePoint=Et(Dt);var Rt=St(gt.filter((function(t){return t.xa.showspikes}))</t>
  </si>
  <si>
    <t>Ot);vt.vLinePoint=Et(Rt)}if(0===gt.length){var Ft=m.unhoverRaw(t</t>
  </si>
  <si>
    <t>e);return!M||null===vt.hLinePoint&amp;&amp;null===vt.vLinePoint||U(Lt)&amp;&amp;j(t</t>
  </si>
  <si>
    <t>vt</t>
  </si>
  <si>
    <t>Ct)</t>
  </si>
  <si>
    <t>Ft}if(M&amp;&amp;U(Lt)&amp;&amp;j(t</t>
  </si>
  <si>
    <t>x.isXYhover(ht)&amp;&amp;0!==gt[0].length&amp;&amp;""splom""!==gt[0].trace.type){var Bt=gt[0]</t>
  </si>
  <si>
    <t>Nt=(gt=L[Bt.trace.type]?gt.filter((function(t){return t.trace.index===Bt.trace.index})):[Bt]).length;Mt(q(""x""</t>
  </si>
  <si>
    <t>Bt</t>
  </si>
  <si>
    <t>q(""y""</t>
  </si>
  <si>
    <t>b));var jt</t>
  </si>
  <si>
    <t>Ut=[]</t>
  </si>
  <si>
    <t>Vt={}</t>
  </si>
  <si>
    <t>qt=0</t>
  </si>
  <si>
    <t>Ht=function(t){var e=L[t.trace.type]?z(t):t.trace.index;if(Vt[e]){var r=Vt[e]-1</t>
  </si>
  <si>
    <t>n=Ut[r];r&gt;0&amp;&amp;Math.abs(t.distance)&lt;Math.abs(n.distance)&amp;&amp;(Ut[r]=t)}else qt++</t>
  </si>
  <si>
    <t>Vt[e]=qt</t>
  </si>
  <si>
    <t>Ut.push(t)};for(jt=0;jt&lt;Nt;jt++)Ht(gt[jt]);for(jt=gt.length-1;jt&gt;Nt-1;jt--)Ht(gt[jt]);gt=Ut</t>
  </si>
  <si>
    <t>Pt()}var Gt=t._hoverdata</t>
  </si>
  <si>
    <t>Zt=[]</t>
  </si>
  <si>
    <t>Wt=H(t)</t>
  </si>
  <si>
    <t>Yt=G(t);for(at=0;at&lt;gt.length;at++){var Xt=gt[at]</t>
  </si>
  <si>
    <t>$t=x.makeEventData(Xt</t>
  </si>
  <si>
    <t>Xt.trace</t>
  </si>
  <si>
    <t>Xt.cd);if(!1!==Xt.hovertemplate){var Jt=!1;Xt.cd[Xt.index]&amp;&amp;Xt.cd[Xt.index].ht&amp;&amp;(Jt=Xt.cd[Xt.index].ht)</t>
  </si>
  <si>
    <t>Xt.hovertemplate=Jt||Xt.trace.hovertemplate||!1}if(Xt.xa&amp;&amp;Xt.ya){var Kt=Xt.x0+Xt.xa._offset</t>
  </si>
  <si>
    <t>Qt=Xt.x1+Xt.xa._offset</t>
  </si>
  <si>
    <t>te=Xt.y0+Xt.ya._offset</t>
  </si>
  <si>
    <t>ee=Xt.y1+Xt.ya._offset</t>
  </si>
  <si>
    <t>re=Math.min(Kt</t>
  </si>
  <si>
    <t>Qt)</t>
  </si>
  <si>
    <t>ne=Math.max(Kt</t>
  </si>
  <si>
    <t>ie=Math.min(te</t>
  </si>
  <si>
    <t>ee)</t>
  </si>
  <si>
    <t>ae=Math.max(te</t>
  </si>
  <si>
    <t>ee);$t.bbox={x0:re+Yt</t>
  </si>
  <si>
    <t>x1:ne+Yt</t>
  </si>
  <si>
    <t>y0:ie+Wt</t>
  </si>
  <si>
    <t>y1:ae+Wt}}Xt.eventData=[$t]</t>
  </si>
  <si>
    <t>Zt.push($t)}t._hoverdata=Zt;var oe=""y""===S&amp;&amp;(yt.length&gt;1||gt.length&gt;1)||""closest""===S&amp;&amp;xt&amp;&amp;gt.length&gt;1</t>
  </si>
  <si>
    <t>se=d.combine(b.plot_bgcolor||d.background</t>
  </si>
  <si>
    <t>b.paper_bgcolor)</t>
  </si>
  <si>
    <t>le=D(gt</t>
  </si>
  <si>
    <t>{gd:t</t>
  </si>
  <si>
    <t>hovermode:S</t>
  </si>
  <si>
    <t>rotateLabels:oe</t>
  </si>
  <si>
    <t>bgColor:se</t>
  </si>
  <si>
    <t>outerContainer:b._paper.node()</t>
  </si>
  <si>
    <t>commonLabelOpts:b.hoverlabel</t>
  </si>
  <si>
    <t>hoverdistance:b.hoverdistance})</t>
  </si>
  <si>
    <t>ce=le.hoverLabels;if(x.isUnifiedHover(S)||(function(t</t>
  </si>
  <si>
    <t>n){var i</t>
  </si>
  <si>
    <t>h=e?""xa"":""ya""</t>
  </si>
  <si>
    <t>f=e?""ya"":""xa""</t>
  </si>
  <si>
    <t>p=0</t>
  </si>
  <si>
    <t>d=1</t>
  </si>
  <si>
    <t>m=t.size()</t>
  </si>
  <si>
    <t>g=new Array(m)</t>
  </si>
  <si>
    <t>y=0</t>
  </si>
  <si>
    <t>v=n.minX</t>
  </si>
  <si>
    <t>x=n.maxX</t>
  </si>
  <si>
    <t>_=n.minY</t>
  </si>
  <si>
    <t>b=n.maxY</t>
  </si>
  <si>
    <t>w=function(t){return t*r._invScaleX}</t>
  </si>
  <si>
    <t>T=function(t){return t*r._invScaleY};function k(t){var e=t[0]</t>
  </si>
  <si>
    <t>r=t[t.length-1];if(a=e.pmin-e.pos-e.dp+e.size</t>
  </si>
  <si>
    <t>o=r.pos+r.dp+r.size-e.pmax</t>
  </si>
  <si>
    <t>a&gt;.01){for(l=t.length-1;l&gt;=0;l--)t[l].dp+=a;i=!1}if(!(o&lt;.01)){if(a&lt;-.01){for(l=t.length-1;l&gt;=0;l--)t[l].dp-=o;i=!1}if(i){var n=0;for(s=0;s&lt;t.length;s++)(c=t[s]).pos+c.dp+c.size&gt;e.pmax&amp;&amp;n++;for(s=t.length-1;s&gt;=0&amp;&amp;!(n&lt;=0);s--)(c=t[s]).pos&gt;e.pmax-1&amp;&amp;(c.del=!0</t>
  </si>
  <si>
    <t>n--);for(s=0;s&lt;t.length&amp;&amp;!(n&lt;=0);s++)if((c=t[s]).pos&lt;e.pmin+1)for(c.del=!0</t>
  </si>
  <si>
    <t>n--</t>
  </si>
  <si>
    <t>o=2*c.size</t>
  </si>
  <si>
    <t>l=t.length-1;l&gt;=0;l--)t[l].dp-=o;for(s=t.length-1;s&gt;=0&amp;&amp;!(n&lt;=0);s--)(c=t[s]).pos+c.dp+c.size&gt;e.pmax&amp;&amp;(c.del=!0</t>
  </si>
  <si>
    <t>n--)}}}for(t.each((function(t){var n=t[h]</t>
  </si>
  <si>
    <t>i=t[f]</t>
  </si>
  <si>
    <t>a=""x""===n._id.charAt(0)</t>
  </si>
  <si>
    <t>o=n.range;0===y&amp;&amp;o&amp;&amp;o[0]&gt;o[1]!==a&amp;&amp;(d=-1);var s=0</t>
  </si>
  <si>
    <t>l=a?r.width:r.height;if(""x""===r.hovermode||""y""===r.hovermode){var c</t>
  </si>
  <si>
    <t>p=F(t</t>
  </si>
  <si>
    <t>m=t.anchor</t>
  </si>
  <si>
    <t>k=""end""===m?-1:1;if(""middle""===m)u=(c=t.crossPos+(a?T(p.y-t.by/2):w(t.bx/2+t.tx2width/2)))+(a?T(t.by):w(t.bx));else if(a)u=(c=t.crossPos+T(E+p.y)-T(t.by/2-E))+T(t.by);else{var M=w(k*E+p.x)</t>
  </si>
  <si>
    <t>S=M+w(k*t.bx);c=t.crossPos+Math.min(M</t>
  </si>
  <si>
    <t>u=t.crossPos+Math.max(M</t>
  </si>
  <si>
    <t>S)}a?void 0!==_&amp;&amp;void 0!==b&amp;&amp;Math.min(u</t>
  </si>
  <si>
    <t>b)-Math.max(c</t>
  </si>
  <si>
    <t>_)&gt;1&amp;&amp;(""left""===i.side?(s=i._mainLinePosition</t>
  </si>
  <si>
    <t>l=r.width):l=i._mainLinePosition):void 0!==v&amp;&amp;void 0!==x&amp;&amp;Math.min(u</t>
  </si>
  <si>
    <t>x)-Math.max(c</t>
  </si>
  <si>
    <t>v)&gt;1&amp;&amp;(""top""===i.side?(s=i._mainLinePosition</t>
  </si>
  <si>
    <t>l=r.height):l=i._mainLinePosition)}g[y++]=[{datum:t</t>
  </si>
  <si>
    <t>traceIndex:t.trace.index</t>
  </si>
  <si>
    <t>dp:0</t>
  </si>
  <si>
    <t>pos:t.pos</t>
  </si>
  <si>
    <t>posref:t.posref</t>
  </si>
  <si>
    <t>size:t.by*(a?A:1)/2</t>
  </si>
  <si>
    <t>pmin:s</t>
  </si>
  <si>
    <t>pmax:l}]}))</t>
  </si>
  <si>
    <t>g.sort((function(t</t>
  </si>
  <si>
    <t>e){return t[0].posref-e[0].posref||d*(e[0].traceIndex-t[0].traceIndex)}));!i&amp;&amp;p&lt;=m;){for(p++</t>
  </si>
  <si>
    <t>i=!0</t>
  </si>
  <si>
    <t>s=0;s&lt;g.length-1;){var M=g[s]</t>
  </si>
  <si>
    <t>S=g[s+1]</t>
  </si>
  <si>
    <t>C=M[M.length-1]</t>
  </si>
  <si>
    <t>L=S[0];if((a=C.pos+C.dp+C.size-L.pos-L.dp+L.size)&gt;.01){for(l=S.length-1;l&gt;=0;l--)S[l].dp+=a;for(M.push.apply(M</t>
  </si>
  <si>
    <t>g.splice(s+1</t>
  </si>
  <si>
    <t>l=M.length-1;l&gt;=0;l--)u+=M[l].dp;for(o=u/M.length</t>
  </si>
  <si>
    <t>l=M.length-1;l&gt;=0;l--)M[l].dp-=o;i=!1}else s++}g.forEach(k)}for(s=g.length-1;s&gt;=0;s--){var I=g[s];for(l=I.length-1;l&gt;=0;l--){var P=I[l]</t>
  </si>
  <si>
    <t>z=P.datum;z.offset=P.dp</t>
  </si>
  <si>
    <t>z.del=P.del}}}(ce</t>
  </si>
  <si>
    <t>oe</t>
  </si>
  <si>
    <t>le.commonLabelBoundingBox)</t>
  </si>
  <si>
    <t>B(ce</t>
  </si>
  <si>
    <t>b._invScaleX</t>
  </si>
  <si>
    <t>b._invScaleY))</t>
  </si>
  <si>
    <t>l&amp;&amp;l.tagName){var ue=v.getComponentMethod(""annotations""</t>
  </si>
  <si>
    <t>hasClickToShow"")(t</t>
  </si>
  <si>
    <t>Zt);f(n.select(l)</t>
  </si>
  <si>
    <t>ue?""pointer"":"""")}l&amp;&amp;!a&amp;&amp;function(t</t>
  </si>
  <si>
    <t>r){if(!r||r.length!==t._hoverdata.length)return!0;for(var n=r.length-1;n&gt;=0;n--){var i=r[n]</t>
  </si>
  <si>
    <t>a=t._hoverdata[n];if(i.curveNumber!==a.curveNumber||String(i.pointNumber)!==String(a.pointNumber)||String(i.pointNumbers)!==String(a.pointNumbers))return!0}return!1}(t</t>
  </si>
  <si>
    <t>Gt)&amp;&amp;(Gt&amp;&amp;t.emit(""plotly_unhover""</t>
  </si>
  <si>
    <t>points:Gt})</t>
  </si>
  <si>
    <t>t.emit(""plotly_hover""</t>
  </si>
  <si>
    <t>points:t._hoverdata</t>
  </si>
  <si>
    <t>xaxes:$</t>
  </si>
  <si>
    <t>yaxes:J</t>
  </si>
  <si>
    <t>xvals:nt</t>
  </si>
  <si>
    <t>yvals:it}))}(t</t>
  </si>
  <si>
    <t>l)}))}</t>
  </si>
  <si>
    <t>e.loneHover=function(t</t>
  </si>
  <si>
    <t>e){var r=!0;Array.isArray(t)||(r=!1</t>
  </si>
  <si>
    <t>t=[t]);var i=e.gd</t>
  </si>
  <si>
    <t>a=H(i)</t>
  </si>
  <si>
    <t>o=G(i)</t>
  </si>
  <si>
    <t>s=D(t.map((function(t){var r=t._x0||t.x0||t.x||0</t>
  </si>
  <si>
    <t>n=t._x1||t.x1||t.x||0</t>
  </si>
  <si>
    <t>s=t._y0||t.y0||t.y||0</t>
  </si>
  <si>
    <t>l=t._y1||t.y1||t.y||0</t>
  </si>
  <si>
    <t>c=t.eventData;if(c){var u=Math.min(r</t>
  </si>
  <si>
    <t>h=Math.max(r</t>
  </si>
  <si>
    <t>f=Math.min(s</t>
  </si>
  <si>
    <t>p=Math.max(s</t>
  </si>
  <si>
    <t>m=t.trace;if(v.traceIs(m</t>
  </si>
  <si>
    <t>gl3d"")){var g=i._fullLayout[m.scene]._scene.container</t>
  </si>
  <si>
    <t>y=g.offsetLeft</t>
  </si>
  <si>
    <t>x=g.offsetTop;u+=y</t>
  </si>
  <si>
    <t>h+=y</t>
  </si>
  <si>
    <t>f+=x</t>
  </si>
  <si>
    <t>p+=x}c.bbox={x0:u+o</t>
  </si>
  <si>
    <t>x1:h+o</t>
  </si>
  <si>
    <t>y0:f+a</t>
  </si>
  <si>
    <t>y1:p+a}</t>
  </si>
  <si>
    <t>e.inOut_bbox&amp;&amp;e.inOut_bbox.push(c.bbox)}else c=!1;return{color:t.color||d.defaultLine</t>
  </si>
  <si>
    <t>x0:t.x0||t.x||0</t>
  </si>
  <si>
    <t>x1:t.x1||t.x||0</t>
  </si>
  <si>
    <t>y0:t.y0||t.y||0</t>
  </si>
  <si>
    <t>y1:t.y1||t.y||0</t>
  </si>
  <si>
    <t>xLabel:t.xLabel</t>
  </si>
  <si>
    <t>yLabel:t.yLabel</t>
  </si>
  <si>
    <t>zLabel:t.zLabel</t>
  </si>
  <si>
    <t>text:t.text</t>
  </si>
  <si>
    <t>name:t.name</t>
  </si>
  <si>
    <t>idealAlign:t.idealAlign</t>
  </si>
  <si>
    <t>borderColor:t.borderColor</t>
  </si>
  <si>
    <t>fontFamily:t.fontFamily</t>
  </si>
  <si>
    <t>fontSize:t.fontSize</t>
  </si>
  <si>
    <t>fontColor:t.fontColor</t>
  </si>
  <si>
    <t>fontWeight:t.fontWeight</t>
  </si>
  <si>
    <t>fontStyle:t.fontStyle</t>
  </si>
  <si>
    <t>fontVariant:t.fontVariant</t>
  </si>
  <si>
    <t>nameLength:t.nameLength</t>
  </si>
  <si>
    <t>textAlign:t.textAlign</t>
  </si>
  <si>
    <t>trace:t.trace||{index:0</t>
  </si>
  <si>
    <t>hoverinfo:""""}</t>
  </si>
  <si>
    <t>xa:{_offset:0}</t>
  </si>
  <si>
    <t>ya:{_offset:0}</t>
  </si>
  <si>
    <t>index:0</t>
  </si>
  <si>
    <t>hovertemplate:t.hovertemplate||!1</t>
  </si>
  <si>
    <t>hovertemplateLabels:t.hovertemplateLabels||!1</t>
  </si>
  <si>
    <t>eventData:c}}))</t>
  </si>
  <si>
    <t>{gd:i</t>
  </si>
  <si>
    <t>hovermode:""closest""</t>
  </si>
  <si>
    <t>rotateLabels:!1</t>
  </si>
  <si>
    <t>bgColor:e.bgColor||d.background</t>
  </si>
  <si>
    <t>container:n.select(e.container)</t>
  </si>
  <si>
    <t>outerContainer:e.outerContainer||e.container}).hoverLabels</t>
  </si>
  <si>
    <t>l=0</t>
  </si>
  <si>
    <t>c=0;return s.sort((function(t</t>
  </si>
  <si>
    <t>e){return t.y0-e.y0})).each((function(t</t>
  </si>
  <si>
    <t>r){var n=t.y0-t.by/2;t.offset=n-5&lt;l?l-n+5:0</t>
  </si>
  <si>
    <t>l=n+t.by+t.offset</t>
  </si>
  <si>
    <t>r===e.anchorIndex&amp;&amp;(c=t.offset)})).each((function(t){t.offset-=c}))</t>
  </si>
  <si>
    <t>B(s</t>
  </si>
  <si>
    <t>i._fullLayout._invScaleX</t>
  </si>
  <si>
    <t>i._fullLayout._invScaleY)</t>
  </si>
  <si>
    <t>r?s:s.node()};var O=/&lt;extra&gt;([\s\S]*)&lt;\/extra&gt;/;function D(t</t>
  </si>
  <si>
    <t>e){var r=e.gd</t>
  </si>
  <si>
    <t>i=r._fullLayout</t>
  </si>
  <si>
    <t>a=e.hovermode</t>
  </si>
  <si>
    <t>s=e.rotateLabels</t>
  </si>
  <si>
    <t>u=e.bgColor</t>
  </si>
  <si>
    <t>f=e.container</t>
  </si>
  <si>
    <t>m=e.outerContainer</t>
  </si>
  <si>
    <t>g=e.commonLabelOpts||{};if(0===t.length)return[[]];var y=e.fontFamily||_.HOVERFONT</t>
  </si>
  <si>
    <t>k=e.fontSize||_.HOVERFONTSIZE</t>
  </si>
  <si>
    <t>A=e.fontWeight||i.font.weight</t>
  </si>
  <si>
    <t>M=e.fontStyle||i.font.style</t>
  </si>
  <si>
    <t>S=e.fontVariant||i.font.variant</t>
  </si>
  <si>
    <t>L=e.fontTextcase||i.font.textcase</t>
  </si>
  <si>
    <t>I=e.fontLineposition||i.font.lineposition</t>
  </si>
  <si>
    <t>P=e.fontShadow||i.font.shadow</t>
  </si>
  <si>
    <t>O=t[0]</t>
  </si>
  <si>
    <t>D=O.xa</t>
  </si>
  <si>
    <t>F=O.ya</t>
  </si>
  <si>
    <t>B=a.charAt(0)</t>
  </si>
  <si>
    <t>N=B+""Label""</t>
  </si>
  <si>
    <t>j=O[N];if(void 0===j&amp;&amp;""multicategory""===D.type)for(var U=0;U&lt;t.length&amp;&amp;void 0===(j=t[U][N]);U++);var V=Z(r</t>
  </si>
  <si>
    <t>m)</t>
  </si>
  <si>
    <t>q=V.top</t>
  </si>
  <si>
    <t>H=V.width</t>
  </si>
  <si>
    <t>G=V.height</t>
  </si>
  <si>
    <t>W=void 0!==j&amp;&amp;O.distance&lt;=e.hoverdistance&amp;&amp;(""x""===a||""y""===a);if(W){var Y</t>
  </si>
  <si>
    <t>$=!0;for(Y=0;Y&lt;t.length;Y++)if($&amp;&amp;void 0===t[Y].zLabel&amp;&amp;($=!1)</t>
  </si>
  <si>
    <t>X=t[Y].hoverinfo||t[Y].trace.hoverinfo){var J=Array.isArray(X)?X:X.split(""+"");if(-1===J.indexOf(""all"")&amp;&amp;-1===J.indexOf(a)){W=!1;break}}$&amp;&amp;(W=!1)}var K=f.selectAll(""g.axistext"").data(W?[0]:[]);K.enter().append(""g"").classed(""axistext""</t>
  </si>
  <si>
    <t>K.exit().remove();var Q={minX:0</t>
  </si>
  <si>
    <t>maxX:0</t>
  </si>
  <si>
    <t>minY:0</t>
  </si>
  <si>
    <t>maxY:0};if(K.each((function(){var t=n.select(this)</t>
  </si>
  <si>
    <t>e=o.ensureSingle(t</t>
  </si>
  <si>
    <t>"</t>
  </si>
  <si>
    <t>(function(t){t.style({""stroke-width"":""1px""})}))</t>
  </si>
  <si>
    <t>s=o.ensureSingle(t</t>
  </si>
  <si>
    <t>text""</t>
  </si>
  <si>
    <t>(function(t){t.attr(""data-notex""</t>
  </si>
  <si>
    <t>1)}))</t>
  </si>
  <si>
    <t>c=g.bgcolor||d.defaultLine</t>
  </si>
  <si>
    <t>u=g.bordercolor||d.contrast(c)</t>
  </si>
  <si>
    <t>f=d.contrast(c)</t>
  </si>
  <si>
    <t>m=g.font</t>
  </si>
  <si>
    <t>v={weight:m.weight||A</t>
  </si>
  <si>
    <t>style:m.style||M</t>
  </si>
  <si>
    <t>variant:m.variant||S</t>
  </si>
  <si>
    <t>textcase:m.textcase||L</t>
  </si>
  <si>
    <t>lineposition:m.lineposition||I</t>
  </si>
  <si>
    <t>shadow:m.shadow||P</t>
  </si>
  <si>
    <t>family:m.family||y</t>
  </si>
  <si>
    <t>size:m.size||k</t>
  </si>
  <si>
    <t>color:m.color||f};e.style({fill:c</t>
  </si>
  <si>
    <t>stroke:u})</t>
  </si>
  <si>
    <t>s.text(j).call(p.font</t>
  </si>
  <si>
    <t>v).call(h.positionText</t>
  </si>
  <si>
    <t>0).call(h.convertToTspans</t>
  </si>
  <si>
    <t>");var x</t>
  </si>
  <si>
    <t>b=Z(r</t>
  </si>
  <si>
    <t>s.node());if(""x""===a){var w=""top""===D.side?""-"":"""";s.attr(""text-anchor""</t>
  </si>
  <si>
    <t>middle"").call(h.positionText</t>
  </si>
  <si>
    <t>top""===D.side?q-b.bottom-E-C:q-b.top+E+C)</t>
  </si>
  <si>
    <t>x=D._offset+(O.x0+O.x1)/2</t>
  </si>
  <si>
    <t>_=F._offset+(""top""===D.side?0:F._length);var T=b.width/2+C</t>
  </si>
  <si>
    <t>z=x;x&lt;T?z=T:x&gt;i.width-T&amp;&amp;(z=i.width-T)</t>
  </si>
  <si>
    <t>e.attr(""d""</t>
  </si>
  <si>
    <t>M""+(x-z)+""</t>
  </si>
  <si>
    <t>0L""+(x-z+E)+""</t>
  </si>
  <si>
    <t>+w+E+""H""+T+""v""+w+(2*C+b.height)+""H""+-T+""V""+w+E+""H""+(x-z-E)+""Z"")</t>
  </si>
  <si>
    <t>x=z</t>
  </si>
  <si>
    <t>Q.minX=x-T</t>
  </si>
  <si>
    <t>Q.maxX=x+T</t>
  </si>
  <si>
    <t>top""===D.side?(Q.minY=_-(2*C+b.height)</t>
  </si>
  <si>
    <t>Q.maxY=_-C):(Q.minY=_+C</t>
  </si>
  <si>
    <t>Q.maxY=_+(2*C+b.height))}else{var R</t>
  </si>
  <si>
    <t>B</t>
  </si>
  <si>
    <t>N;""right""===F.side?(R=""start""</t>
  </si>
  <si>
    <t>B=1</t>
  </si>
  <si>
    <t>N=""""</t>
  </si>
  <si>
    <t>x=D._offset+D._length):(R=""end""</t>
  </si>
  <si>
    <t>B=-1</t>
  </si>
  <si>
    <t>N=""-""</t>
  </si>
  <si>
    <t>x=D._offset)</t>
  </si>
  <si>
    <t>_=F._offset+(O.y0+O.y1)/2</t>
  </si>
  <si>
    <t>s.attr(""text-anchor""</t>
  </si>
  <si>
    <t>R)</t>
  </si>
  <si>
    <t>0L""+N+E+""</t>
  </si>
  <si>
    <t>+E+""V""+(C+b.height/2)+""h""+N+(2*C+b.width)+""V-""+(C+b.height/2)+""H""+N+E+""V-""+E+""Z"")</t>
  </si>
  <si>
    <t>Q.minY=_-(C+b.height/2)</t>
  </si>
  <si>
    <t>Q.maxY=_+(C+b.height/2)</t>
  </si>
  <si>
    <t>right""===F.side?(Q.minX=x+E</t>
  </si>
  <si>
    <t>Q.maxX=x+E+(2*C+b.width)):(Q.minX=x-E-(2*C+b.width)</t>
  </si>
  <si>
    <t>Q.maxX=x-E);var U</t>
  </si>
  <si>
    <t>V=b.height/2</t>
  </si>
  <si>
    <t>H=q-b.top-V</t>
  </si>
  <si>
    <t>G=""clip""+i._uid+""commonlabel""+F._id;if(x&lt;b.width+2*C+E){U=""M-""+(E+C)+""-""+V+""h-""+(b.width-C)+""V""+V+""h""+(b.width-C)+""Z"";var W=b.width-x+C;h.positionText(s</t>
  </si>
  <si>
    <t>W</t>
  </si>
  <si>
    <t>H)</t>
  </si>
  <si>
    <t>end""===R&amp;&amp;s.selectAll(""tspan"").each((function(){var t=n.select(this)</t>
  </si>
  <si>
    <t>e=p.tester.append(""text"").text(t.text()).call(p.font</t>
  </si>
  <si>
    <t>v)</t>
  </si>
  <si>
    <t>i=Z(r</t>
  </si>
  <si>
    <t>e.node());Math.round(i.width)&lt;Math.round(b.width)&amp;&amp;t.attr(""x""</t>
  </si>
  <si>
    <t>W-i.width)</t>
  </si>
  <si>
    <t>e.remove()}))}else h.positionText(s</t>
  </si>
  <si>
    <t>B*(C+E)</t>
  </si>
  <si>
    <t>U=null;var Y=i._topclips.selectAll(""#""+G).data(U?[0]:[]);Y.enter().append(""clipPath"").attr(""id""</t>
  </si>
  <si>
    <t>G).append(""path"")</t>
  </si>
  <si>
    <t>Y.exit().remove()</t>
  </si>
  <si>
    <t>Y.select(""path"").attr(""d""</t>
  </si>
  <si>
    <t>U)</t>
  </si>
  <si>
    <t>p.setClipUrl(s</t>
  </si>
  <si>
    <t>U?G:null</t>
  </si>
  <si>
    <t>r)}t.attr(""transform""</t>
  </si>
  <si>
    <t>l(x</t>
  </si>
  <si>
    <t>_))}))</t>
  </si>
  <si>
    <t>x.isUnifiedHover(a)){f.selectAll(""g.hovertext"").remove();var tt=t.filter((function(t){return""none""!==t.hoverinfo}));if(0===tt.length)return[];var et=i.hoverlabel</t>
  </si>
  <si>
    <t>rt=et.font</t>
  </si>
  <si>
    <t>nt={showlegend:!0</t>
  </si>
  <si>
    <t>legend:{title:{text:j</t>
  </si>
  <si>
    <t>font:rt}</t>
  </si>
  <si>
    <t>font:rt</t>
  </si>
  <si>
    <t>bgcolor:et.bgcolor</t>
  </si>
  <si>
    <t>bordercolor:et.bordercolor</t>
  </si>
  <si>
    <t>borderwidth:1</t>
  </si>
  <si>
    <t>tracegroupgap:7</t>
  </si>
  <si>
    <t>traceorder:i.legend?i.legend.traceorder:void 0</t>
  </si>
  <si>
    <t>orientation:""v""}}</t>
  </si>
  <si>
    <t>it={font:rt};b(nt</t>
  </si>
  <si>
    <t>r._fullData);var at=it.legend;at.entries=[];for(var ot=0;ot&lt;tt.length;ot++){var st=tt[ot];if(""none""!==st.hoverinfo){var lt=R(st</t>
  </si>
  <si>
    <t>j)</t>
  </si>
  <si>
    <t>ct=lt[0]</t>
  </si>
  <si>
    <t>ut=lt[1];st.name=ut</t>
  </si>
  <si>
    <t>st.text=""""!==ut?ut+"" : ""+ct:ct;var ht=st.cd[st.index];ht&amp;&amp;(ht.mc&amp;&amp;(st.mc=ht.mc)</t>
  </si>
  <si>
    <t>ht.mcc&amp;&amp;(st.mc=ht.mcc)</t>
  </si>
  <si>
    <t>ht.mlc&amp;&amp;(st.mlc=ht.mlc)</t>
  </si>
  <si>
    <t>ht.mlcc&amp;&amp;(st.mlc=ht.mlcc)</t>
  </si>
  <si>
    <t>ht.mlw&amp;&amp;(st.mlw=ht.mlw)</t>
  </si>
  <si>
    <t>ht.mrc&amp;&amp;(st.mrc=ht.mrc)</t>
  </si>
  <si>
    <t>ht.dir&amp;&amp;(st.dir=ht.dir))</t>
  </si>
  <si>
    <t>st._distinct=!0</t>
  </si>
  <si>
    <t>at.entries.push([st])}}at.entries.sort((function(t</t>
  </si>
  <si>
    <t>e){return t[0].trace.index-e[0].trace.index}))</t>
  </si>
  <si>
    <t>at.layer=f</t>
  </si>
  <si>
    <t>at._inHover=!0</t>
  </si>
  <si>
    <t>at._groupTitleFont=et.grouptitlefont</t>
  </si>
  <si>
    <t>w(r</t>
  </si>
  <si>
    <t>at);var ft</t>
  </si>
  <si>
    <t>gt=f.select(""g.legend"")</t>
  </si>
  <si>
    <t>yt=Z(r</t>
  </si>
  <si>
    <t>gt.node())</t>
  </si>
  <si>
    <t>vt=yt.width+2*C</t>
  </si>
  <si>
    <t>xt=yt.height+2*C</t>
  </si>
  <si>
    <t>_t=tt[0]</t>
  </si>
  <si>
    <t>bt=(_t.x0+_t.x1)/2</t>
  </si>
  <si>
    <t>wt=(_t.y0+_t.y1)/2</t>
  </si>
  <si>
    <t>Tt=!(v.traceIs(_t.trace</t>
  </si>
  <si>
    <t>bar-like"")||v.traceIs(_t.trace</t>
  </si>
  <si>
    <t>box-violin""));""y""===B?Tt?(pt=wt-C</t>
  </si>
  <si>
    <t>ft=wt+C):(pt=Math.min.apply(null</t>
  </si>
  <si>
    <t>tt.map((function(t){return Math.min(t.y0</t>
  </si>
  <si>
    <t>t.y1)})))</t>
  </si>
  <si>
    <t>ft=Math.max.apply(null</t>
  </si>
  <si>
    <t>tt.map((function(t){return Math.max(t.y0</t>
  </si>
  <si>
    <t>t.y1)})))):pt=ft=o.mean(tt.map((function(t){return(t.y0+t.y1)/2})))-xt/2</t>
  </si>
  <si>
    <t>x""===B?Tt?(dt=bt+C</t>
  </si>
  <si>
    <t>mt=bt-C):(dt=Math.max.apply(null</t>
  </si>
  <si>
    <t>tt.map((function(t){return Math.max(t.x0</t>
  </si>
  <si>
    <t>t.x1)})))</t>
  </si>
  <si>
    <t>mt=Math.min.apply(null</t>
  </si>
  <si>
    <t>tt.map((function(t){return Math.min(t.x0</t>
  </si>
  <si>
    <t>t.x1)})))):dt=mt=o.mean(tt.map((function(t){return(t.x0+t.x1)/2})))-vt/2;var kt</t>
  </si>
  <si>
    <t>At</t>
  </si>
  <si>
    <t>Mt=D._offset</t>
  </si>
  <si>
    <t>St=F._offset;return mt+=Mt-vt</t>
  </si>
  <si>
    <t>pt+=St-xt</t>
  </si>
  <si>
    <t>kt=(dt+=Mt)+vt&lt;H&amp;&amp;dt&gt;=0?dt:mt+vt&lt;H&amp;&amp;mt&gt;=0?mt:Mt+vt&lt;H?Mt:dt-bt&lt;bt-mt+vt?H-vt:0</t>
  </si>
  <si>
    <t>kt+=C</t>
  </si>
  <si>
    <t>At=(ft+=St)+xt&lt;G&amp;&amp;ft&gt;=0?ft:pt+xt&lt;G&amp;&amp;pt&gt;=0?pt:St+xt&lt;G?St:ft-wt&lt;wt-pt+xt?G-xt:0</t>
  </si>
  <si>
    <t>At+=C</t>
  </si>
  <si>
    <t>gt.attr(""transform""</t>
  </si>
  <si>
    <t>l(kt-1</t>
  </si>
  <si>
    <t>At-1))</t>
  </si>
  <si>
    <t>gt}var Et=f.selectAll(""g.hovertext"").data(t</t>
  </si>
  <si>
    <t>(function(t){return z(t)}));return Et.enter().append(""g"").classed(""hovertext""</t>
  </si>
  <si>
    <t>!0).each((function(){var t=n.select(this);t.append(""rect"").call(d.fill</t>
  </si>
  <si>
    <t>d.addOpacity(u</t>
  </si>
  <si>
    <t>.8))</t>
  </si>
  <si>
    <t>t.append(""text"").classed(""name""</t>
  </si>
  <si>
    <t>t.append(""path"").style(""stroke-width""</t>
  </si>
  <si>
    <t>1px"")</t>
  </si>
  <si>
    <t>t.append(""text"").classed(""nums""</t>
  </si>
  <si>
    <t>!0).call(p.font</t>
  </si>
  <si>
    <t>{weight:A</t>
  </si>
  <si>
    <t>style:M</t>
  </si>
  <si>
    <t>variant:S</t>
  </si>
  <si>
    <t>textcase:L</t>
  </si>
  <si>
    <t>lineposition:I</t>
  </si>
  <si>
    <t>shadow:P</t>
  </si>
  <si>
    <t>family:y</t>
  </si>
  <si>
    <t>size:k})}))</t>
  </si>
  <si>
    <t>Et.exit().remove()</t>
  </si>
  <si>
    <t>Et.each((function(t){var e=n.select(this).attr(""transform""</t>
  </si>
  <si>
    <t>o=t.color;Array.isArray(o)&amp;&amp;(o=o[t.eventData[0].pointNumber]);var f=t.bgcolor||o</t>
  </si>
  <si>
    <t>m=d.combine(d.opacity(f)?f:d.defaultLine</t>
  </si>
  <si>
    <t>u)</t>
  </si>
  <si>
    <t>g=d.combine(d.opacity(o)?o:d.defaultLine</t>
  </si>
  <si>
    <t>v=t.borderColor||d.contrast(m)</t>
  </si>
  <si>
    <t>x=R(t</t>
  </si>
  <si>
    <t>j</t>
  </si>
  <si>
    <t>_=x[0]</t>
  </si>
  <si>
    <t>b=x[1]</t>
  </si>
  <si>
    <t>w=e.select(""text.nums"").call(p.font</t>
  </si>
  <si>
    <t>{family:t.fontFamily||y</t>
  </si>
  <si>
    <t>size:t.fontSize||k</t>
  </si>
  <si>
    <t>color:t.fontColor||v</t>
  </si>
  <si>
    <t>weight:t.fontWeight||A</t>
  </si>
  <si>
    <t>style:t.fontStyle||M</t>
  </si>
  <si>
    <t>variant:t.fontVariant||S</t>
  </si>
  <si>
    <t>textcase:t.fontTextcase||L</t>
  </si>
  <si>
    <t>lineposition:t.fontLineposition||I</t>
  </si>
  <si>
    <t>shadow:t.fontShadow||P}).text(_).attr(""data-notex""</t>
  </si>
  <si>
    <t>1).call(h.positionText</t>
  </si>
  <si>
    <t>z=e.select(""text.name"")</t>
  </si>
  <si>
    <t>O=0</t>
  </si>
  <si>
    <t>D=0;if(b&amp;&amp;b!==_){z.call(p.font</t>
  </si>
  <si>
    <t>color:g</t>
  </si>
  <si>
    <t>shadow:t.fontShadow||P}).text(b).attr(""data-notex""</t>
  </si>
  <si>
    <t>r);var F=Z(r</t>
  </si>
  <si>
    <t>z.node());O=F.width+2*C</t>
  </si>
  <si>
    <t>D=F.height+2*C}else z.remove()</t>
  </si>
  <si>
    <t>e.select(""rect"").remove();e.select(""path"").style({fill:m</t>
  </si>
  <si>
    <t>stroke:v});var B=t.xa._offset+(t.x0+t.x1)/2</t>
  </si>
  <si>
    <t>N=t.ya._offset+(t.y0+t.y1)/2</t>
  </si>
  <si>
    <t>U=Math.abs(t.x1-t.x0)</t>
  </si>
  <si>
    <t>V=Math.abs(t.y1-t.y0)</t>
  </si>
  <si>
    <t>Y=Z(r</t>
  </si>
  <si>
    <t>w.node())</t>
  </si>
  <si>
    <t>X=Y.width/i._invScaleX</t>
  </si>
  <si>
    <t>$=Y.height/i._invScaleY;t.ty0=(q-Y.top)/i._invScaleY</t>
  </si>
  <si>
    <t>t.bx=X+2*C</t>
  </si>
  <si>
    <t>t.by=Math.max($+2*C</t>
  </si>
  <si>
    <t>D)</t>
  </si>
  <si>
    <t>t.anchor=""start""</t>
  </si>
  <si>
    <t>t.txwidth=X</t>
  </si>
  <si>
    <t>t.tx2width=O</t>
  </si>
  <si>
    <t>t.offset=0;var J</t>
  </si>
  <si>
    <t>Q=(X+E+C+O)*i._invScaleX;if(s)t.pos=B</t>
  </si>
  <si>
    <t>J=N+V/2+Q&lt;=G</t>
  </si>
  <si>
    <t>K=N-V/2-Q&gt;=0</t>
  </si>
  <si>
    <t>top""!==t.idealAlign&amp;&amp;J||!K?J?(N+=V/2</t>
  </si>
  <si>
    <t>t.anchor=""start""):t.anchor=""middle"":(N-=V/2</t>
  </si>
  <si>
    <t>t.anchor=""end"")</t>
  </si>
  <si>
    <t>t.crossPos=N;else{if(t.pos=N</t>
  </si>
  <si>
    <t>J=B+U/2+Q&lt;=H</t>
  </si>
  <si>
    <t>K=B-U/2-Q&gt;=0</t>
  </si>
  <si>
    <t>left""!==t.idealAlign&amp;&amp;J||!K)if(J)B+=U/2</t>
  </si>
  <si>
    <t>t.anchor=""start"";else{t.anchor=""middle"";var tt=Q/2</t>
  </si>
  <si>
    <t>et=B+tt-H</t>
  </si>
  <si>
    <t>rt=B-tt;et&gt;0&amp;&amp;(B-=et)</t>
  </si>
  <si>
    <t>rt&lt;0&amp;&amp;(B+=-rt)}else B-=U/2</t>
  </si>
  <si>
    <t>t.anchor=""end"";t.crossPos=B}w.attr(""text-anchor""</t>
  </si>
  <si>
    <t>t.anchor)</t>
  </si>
  <si>
    <t>O&amp;&amp;z.attr(""text-anchor""</t>
  </si>
  <si>
    <t>e.attr(""transform""</t>
  </si>
  <si>
    <t>l(B</t>
  </si>
  <si>
    <t>N)+(s?c(T):""""))}))</t>
  </si>
  <si>
    <t>{hoverLabels:Et</t>
  </si>
  <si>
    <t>commonLabelBoundingBox:Q}}function R(t</t>
  </si>
  <si>
    <t>a){var s=""""</t>
  </si>
  <si>
    <t>l="""";void 0!==t.nameOverride&amp;&amp;(t.name=t.nameOverride)</t>
  </si>
  <si>
    <t>t.name&amp;&amp;(t.trace._meta&amp;&amp;(t.name=o.templateString(t.name</t>
  </si>
  <si>
    <t>t.trace._meta))</t>
  </si>
  <si>
    <t>s=V(t.name</t>
  </si>
  <si>
    <t>t.nameLength));var c=r.charAt(0)</t>
  </si>
  <si>
    <t>u=""x""===c?""y"":""x"";void 0!==t.zLabel?(void 0!==t.xLabel&amp;&amp;(l+=""x: ""+t.xLabel+""&lt;br&gt;"")</t>
  </si>
  <si>
    <t>void 0!==t.yLabel&amp;&amp;(l+=""y: ""+t.yLabel+""&lt;br&gt;"")</t>
  </si>
  <si>
    <t>choropleth""!==t.trace.type&amp;&amp;""choroplethmapbox""!==t.trace.type&amp;&amp;""choroplethmap""!==t.trace.type&amp;&amp;(l+=(l?""z: "":"""")+t.zLabel)):e&amp;&amp;t[c+""Label""]===i?l=t[u+""Label""]||"""":void 0===t.xLabel?void 0!==t.yLabel&amp;&amp;""scattercarpet""!==t.trace.type&amp;&amp;(l=t.yLabel):l=void 0===t.yLabel?t.xLabel:""(""+t.xLabel+""</t>
  </si>
  <si>
    <t xml:space="preserve"> ""+t.yLabel+"")""</t>
  </si>
  <si>
    <t>!t.text&amp;&amp;0!==t.text||Array.isArray(t.text)||(l+=(l?""&lt;br&gt;"":"""")+t.text)</t>
  </si>
  <si>
    <t>void 0!==t.extraText&amp;&amp;(l+=(l?""&lt;br&gt;"":"""")+t.extraText)</t>
  </si>
  <si>
    <t>a&amp;&amp;""""===l&amp;&amp;!t.hovertemplate&amp;&amp;(""""===s&amp;&amp;a.remove()</t>
  </si>
  <si>
    <t>l=s);var h=t.hovertemplate||!1;if(h){var f=t.hovertemplateLabels||t;t[c+""Label""]!==i&amp;&amp;(f[c+""other""]=f[c+""Val""]</t>
  </si>
  <si>
    <t>f[c+""otherLabel""]=f[c+""Label""])</t>
  </si>
  <si>
    <t>l=(l=o.hovertemplateString(h</t>
  </si>
  <si>
    <t>n._d3locale</t>
  </si>
  <si>
    <t>t.eventData[0]||{}</t>
  </si>
  <si>
    <t>t.trace._meta)).replace(O</t>
  </si>
  <si>
    <t>(function(e</t>
  </si>
  <si>
    <t>r){return s=V(r</t>
  </si>
  <si>
    <t>t.nameLength)</t>
  </si>
  <si>
    <t>"}))}return[l</t>
  </si>
  <si>
    <t>s]}function F(t</t>
  </si>
  <si>
    <t>e){var r=0</t>
  </si>
  <si>
    <t>n=t.offset;return e&amp;&amp;(n*=-S</t>
  </si>
  <si>
    <t>r=t.offset*M)</t>
  </si>
  <si>
    <t>{x:r</t>
  </si>
  <si>
    <t>y:n}}function B(t</t>
  </si>
  <si>
    <t>i){var a=function(t){return t*r}</t>
  </si>
  <si>
    <t>o=function(t){return t*i};t.each((function(t){var r=n.select(this);if(t.del)return r.remove();var i</t>
  </si>
  <si>
    <t>u=r.select(""text.nums"")</t>
  </si>
  <si>
    <t>f=t.anchor</t>
  </si>
  <si>
    <t>d=""end""===f?-1:1</t>
  </si>
  <si>
    <t>m=(c=(l=(s={start:1</t>
  </si>
  <si>
    <t>middle:0}[(i=t).anchor])*(E+C))+s*(i.txwidth+C)</t>
  </si>
  <si>
    <t>middle""===i.anchor&amp;&amp;(l-=i.tx2width/2</t>
  </si>
  <si>
    <t>c+=i.txwidth/2+C)</t>
  </si>
  <si>
    <t>{alignShift:s</t>
  </si>
  <si>
    <t>textShiftX:l</t>
  </si>
  <si>
    <t>text2ShiftX:c})</t>
  </si>
  <si>
    <t>g=F(t</t>
  </si>
  <si>
    <t>y=g.x</t>
  </si>
  <si>
    <t>v=g.y</t>
  </si>
  <si>
    <t>x=""middle""===f;r.select(""path"").attr(""d""</t>
  </si>
  <si>
    <t>x?""M-""+a(t.bx/2+t.tx2width/2)+""</t>
  </si>
  <si>
    <t>+o(v-t.by/2)+""h""+a(t.bx)+""v""+o(t.by)+""h-""+a(t.bx)+""Z"":""M0</t>
  </si>
  <si>
    <t>0L""+a(d*E+y)+""</t>
  </si>
  <si>
    <t>+o(E+v)+""v""+o(t.by/2-E)+""h""+a(d*t.bx)+""v-""+o(t.by)+""H""+a(d*E+y)+""V""+o(v-E)+""Z"");var _=y+m.textShiftX</t>
  </si>
  <si>
    <t>b=v+t.ty0-t.by/2+C</t>
  </si>
  <si>
    <t>w=t.textAlign||""auto"";""auto""!==w&amp;&amp;(""left""===w&amp;&amp;""start""!==f?(u.attr(""text-anchor""</t>
  </si>
  <si>
    <t>start"")</t>
  </si>
  <si>
    <t>_=x?-t.bx/2-t.tx2width/2+C:-t.bx-C):""right""===w&amp;&amp;""end""!==f&amp;&amp;(u.attr(""text-anchor""</t>
  </si>
  <si>
    <t>end"")</t>
  </si>
  <si>
    <t>_=x?t.bx/2-t.tx2width/2-C:t.bx+C))</t>
  </si>
  <si>
    <t>u.call(h.positionText</t>
  </si>
  <si>
    <t>a(_)</t>
  </si>
  <si>
    <t>o(b))</t>
  </si>
  <si>
    <t>t.tx2width&amp;&amp;(r.select(""text.name"").call(h.positionText</t>
  </si>
  <si>
    <t>a(m.text2ShiftX+m.alignShift*C+y)</t>
  </si>
  <si>
    <t>o(v+t.ty0-t.by/2+C))</t>
  </si>
  <si>
    <t>r.select(""rect"").call(p.setRect</t>
  </si>
  <si>
    <t>a(m.text2ShiftX+(m.alignShift-1)*t.tx2width/2+y)</t>
  </si>
  <si>
    <t>o(v-t.by/2-1)</t>
  </si>
  <si>
    <t>a(t.tx2width)</t>
  </si>
  <si>
    <t>o(t.by+2)))}))}function N(t</t>
  </si>
  <si>
    <t>e){var r=t.index</t>
  </si>
  <si>
    <t>n=t.trace||{}</t>
  </si>
  <si>
    <t>a=t.cd[0]</t>
  </si>
  <si>
    <t>s=t.cd[r]||{};function l(t){return t||i(t)&amp;&amp;0===t}var c=Array.isArray(r)?function(t</t>
  </si>
  <si>
    <t>e){var i=o.castOption(a</t>
  </si>
  <si>
    <t>t);return l(i)?i:o.extractOption({}</t>
  </si>
  <si>
    <t>e)}:function(t</t>
  </si>
  <si>
    <t>e){return o.extractOption(s</t>
  </si>
  <si>
    <t>e)};function u(e</t>
  </si>
  <si>
    <t>n){var i=c(r</t>
  </si>
  <si>
    <t>n);l(i)&amp;&amp;(t[e]=i)}if(u(""hoverinfo""</t>
  </si>
  <si>
    <t>hoverinfo"")</t>
  </si>
  <si>
    <t>u(""bgcolor""</t>
  </si>
  <si>
    <t>hbg""</t>
  </si>
  <si>
    <t>hoverlabel.bgcolor"")</t>
  </si>
  <si>
    <t>u(""borderColor""</t>
  </si>
  <si>
    <t>hbc""</t>
  </si>
  <si>
    <t>hoverlabel.bordercolor"")</t>
  </si>
  <si>
    <t>u(""fontFamily""</t>
  </si>
  <si>
    <t>htf""</t>
  </si>
  <si>
    <t>hoverlabel.font.family"")</t>
  </si>
  <si>
    <t>u(""fontSize""</t>
  </si>
  <si>
    <t>hts""</t>
  </si>
  <si>
    <t>hoverlabel.font.size"")</t>
  </si>
  <si>
    <t>u(""fontColor""</t>
  </si>
  <si>
    <t>htc""</t>
  </si>
  <si>
    <t>hoverlabel.font.color"")</t>
  </si>
  <si>
    <t>u(""fontWeight""</t>
  </si>
  <si>
    <t>htw""</t>
  </si>
  <si>
    <t>hoverlabel.font.weight"")</t>
  </si>
  <si>
    <t>u(""fontStyle""</t>
  </si>
  <si>
    <t>hty""</t>
  </si>
  <si>
    <t>hoverlabel.font.style"")</t>
  </si>
  <si>
    <t>u(""fontVariant""</t>
  </si>
  <si>
    <t>htv""</t>
  </si>
  <si>
    <t>hoverlabel.font.variant"")</t>
  </si>
  <si>
    <t>u(""nameLength""</t>
  </si>
  <si>
    <t>hnl""</t>
  </si>
  <si>
    <t>hoverlabel.namelength"")</t>
  </si>
  <si>
    <t>u(""textAlign""</t>
  </si>
  <si>
    <t>hta""</t>
  </si>
  <si>
    <t>hoverlabel.align"")</t>
  </si>
  <si>
    <t>t.posref=""y""===e||""closest""===e&amp;&amp;""h""===n.orientation?t.xa._offset+(t.x0+t.x1)/2:t.ya._offset+(t.y0+t.y1)/2</t>
  </si>
  <si>
    <t>t.x0=o.constrain(t.x0</t>
  </si>
  <si>
    <t>t.xa._length)</t>
  </si>
  <si>
    <t>t.x1=o.constrain(t.x1</t>
  </si>
  <si>
    <t>t.y0=o.constrain(t.y0</t>
  </si>
  <si>
    <t>t.ya._length)</t>
  </si>
  <si>
    <t>t.y1=o.constrain(t.y1</t>
  </si>
  <si>
    <t>void 0!==t.xLabelVal&amp;&amp;(t.xLabel=""xLabel""in t?t.xLabel:g.hoverLabelText(t.xa</t>
  </si>
  <si>
    <t>t.xLabelVal</t>
  </si>
  <si>
    <t>n.xhoverformat)</t>
  </si>
  <si>
    <t>t.xVal=t.xa.c2d(t.xLabelVal))</t>
  </si>
  <si>
    <t>void 0!==t.yLabelVal&amp;&amp;(t.yLabel=""yLabel""in t?t.yLabel:g.hoverLabelText(t.ya</t>
  </si>
  <si>
    <t>t.yLabelVal</t>
  </si>
  <si>
    <t>n.yhoverformat)</t>
  </si>
  <si>
    <t>t.yVal=t.ya.c2d(t.yLabelVal))</t>
  </si>
  <si>
    <t>void 0!==t.zLabelVal&amp;&amp;void 0===t.zLabel&amp;&amp;(t.zLabel=String(t.zLabelVal))</t>
  </si>
  <si>
    <t>!(isNaN(t.xerr)||""log""===t.xa.type&amp;&amp;t.xerr&lt;=0)){var h=g.tickText(t.xa</t>
  </si>
  <si>
    <t>t.xa.c2l(t.xerr)</t>
  </si>
  <si>
    <t>hover"").text;void 0!==t.xerrneg?t.xLabel+="" +""+h+"" / -""+g.tickText(t.xa</t>
  </si>
  <si>
    <t>t.xa.c2l(t.xerrneg)</t>
  </si>
  <si>
    <t>hover"").text:t.xLabel+="" Â± ""+h</t>
  </si>
  <si>
    <t>x""===e&amp;&amp;(t.distance+=1)}if(!(isNaN(t.yerr)||""log""===t.ya.type&amp;&amp;t.yerr&lt;=0)){var f=g.tickText(t.ya</t>
  </si>
  <si>
    <t>t.ya.c2l(t.yerr)</t>
  </si>
  <si>
    <t>hover"").text;void 0!==t.yerrneg?t.yLabel+="" +""+f+"" / -""+g.tickText(t.ya</t>
  </si>
  <si>
    <t>t.ya.c2l(t.yerrneg)</t>
  </si>
  <si>
    <t>hover"").text:t.yLabel+="" Â± ""+f</t>
  </si>
  <si>
    <t>y""===e&amp;&amp;(t.distance+=1)}var p=t.hoverinfo||t.trace.hoverinfo;return p&amp;&amp;""all""!==p&amp;&amp;(-1===(p=Array.isArray(p)?p:p.split(""+"")).indexOf(""x"")&amp;&amp;(t.xLabel=void 0)</t>
  </si>
  <si>
    <t>-1===p.indexOf(""y"")&amp;&amp;(t.yLabel=void 0)</t>
  </si>
  <si>
    <t>-1===p.indexOf(""z"")&amp;&amp;(t.zLabel=void 0)</t>
  </si>
  <si>
    <t>-1===p.indexOf(""text"")&amp;&amp;(t.text=void 0)</t>
  </si>
  <si>
    <t>-1===p.indexOf(""name"")&amp;&amp;(t.name=void 0))</t>
  </si>
  <si>
    <t>t}function j(t</t>
  </si>
  <si>
    <t>o=r.container</t>
  </si>
  <si>
    <t>s=r.fullLayout</t>
  </si>
  <si>
    <t>l=s._size</t>
  </si>
  <si>
    <t>c=r.event</t>
  </si>
  <si>
    <t>u=!!e.hLinePoint</t>
  </si>
  <si>
    <t>h=!!e.vLinePoint;if(o.selectAll("".spikeline"").remove()</t>
  </si>
  <si>
    <t>h||u){var f=d.combine(s.plot_bgcolor</t>
  </si>
  <si>
    <t>s.paper_bgcolor);if(u){var m</t>
  </si>
  <si>
    <t>v=e.hLinePoint;n=v&amp;&amp;v.xa</t>
  </si>
  <si>
    <t>cursor""===(i=v&amp;&amp;v.ya).spikesnap?(m=c.pointerX</t>
  </si>
  <si>
    <t>y=c.pointerY):(m=n._offset+v.x</t>
  </si>
  <si>
    <t>y=i._offset+v.y);var x</t>
  </si>
  <si>
    <t>b=a.readability(v.color</t>
  </si>
  <si>
    <t>f)&lt;1.5?d.contrast(f):v.color</t>
  </si>
  <si>
    <t>w=i.spikemode</t>
  </si>
  <si>
    <t>T=i.spikethickness</t>
  </si>
  <si>
    <t>k=i.spikecolor||b</t>
  </si>
  <si>
    <t>A=g.getPxPosition(t</t>
  </si>
  <si>
    <t>i);if(-1!==w.indexOf(""toaxis"")||-1!==w.indexOf(""across"")){if(-1!==w.indexOf(""toaxis"")&amp;&amp;(x=A</t>
  </si>
  <si>
    <t>_=m)</t>
  </si>
  <si>
    <t>-1!==w.indexOf(""across"")){var M=i._counterDomainMin</t>
  </si>
  <si>
    <t>S=i._counterDomainMax;""free""===i.anchor&amp;&amp;(M=Math.min(M</t>
  </si>
  <si>
    <t>i.position)</t>
  </si>
  <si>
    <t>S=Math.max(S</t>
  </si>
  <si>
    <t>i.position))</t>
  </si>
  <si>
    <t>x=l.l+M*l.w</t>
  </si>
  <si>
    <t>_=l.l+S*l.w}o.insert(""line""</t>
  </si>
  <si>
    <t>:first-child"").attr({x1:x</t>
  </si>
  <si>
    <t>x2:_</t>
  </si>
  <si>
    <t>y1:y</t>
  </si>
  <si>
    <t>y2:y</t>
  </si>
  <si>
    <t>stroke-width"":T</t>
  </si>
  <si>
    <t>stroke:k</t>
  </si>
  <si>
    <t>stroke-dasharray"":p.dashStyle(i.spikedash</t>
  </si>
  <si>
    <t>T)}).classed(""spikeline""</t>
  </si>
  <si>
    <t>!0).classed(""crisp""</t>
  </si>
  <si>
    <t>o.insert(""line""</t>
  </si>
  <si>
    <t>stroke-width"":T+2</t>
  </si>
  <si>
    <t>stroke:f}).classed(""spikeline""</t>
  </si>
  <si>
    <t>!0)}-1!==w.indexOf(""marker"")&amp;&amp;o.insert(""circle""</t>
  </si>
  <si>
    <t>:first-child"").attr({cx:A+(""right""!==i.side?T:-T)</t>
  </si>
  <si>
    <t>cy:y</t>
  </si>
  <si>
    <t>r:T</t>
  </si>
  <si>
    <t>fill:k}).classed(""spikeline""</t>
  </si>
  <si>
    <t>!0)}if(h){var E</t>
  </si>
  <si>
    <t>C</t>
  </si>
  <si>
    <t>L=e.vLinePoint;n=L&amp;&amp;L.xa</t>
  </si>
  <si>
    <t>i=L&amp;&amp;L.ya</t>
  </si>
  <si>
    <t>cursor""===n.spikesnap?(E=c.pointerX</t>
  </si>
  <si>
    <t>C=c.pointerY):(E=n._offset+L.x</t>
  </si>
  <si>
    <t>C=i._offset+L.y);var I</t>
  </si>
  <si>
    <t>P</t>
  </si>
  <si>
    <t>z=a.readability(L.color</t>
  </si>
  <si>
    <t>f)&lt;1.5?d.contrast(f):L.color</t>
  </si>
  <si>
    <t>O=n.spikemode</t>
  </si>
  <si>
    <t>D=n.spikethickness</t>
  </si>
  <si>
    <t>R=n.spikecolor||z</t>
  </si>
  <si>
    <t>F=g.getPxPosition(t</t>
  </si>
  <si>
    <t>n);if(-1!==O.indexOf(""toaxis"")||-1!==O.indexOf(""across"")){if(-1!==O.indexOf(""toaxis"")&amp;&amp;(I=F</t>
  </si>
  <si>
    <t>P=C)</t>
  </si>
  <si>
    <t>-1!==O.indexOf(""across"")){var B=n._counterDomainMin</t>
  </si>
  <si>
    <t>N=n._counterDomainMax;""free""===n.anchor&amp;&amp;(B=Math.min(B</t>
  </si>
  <si>
    <t>n.position)</t>
  </si>
  <si>
    <t>N=Math.max(N</t>
  </si>
  <si>
    <t>n.position))</t>
  </si>
  <si>
    <t>I=l.t+(1-N)*l.h</t>
  </si>
  <si>
    <t>P=l.t+(1-B)*l.h}o.insert(""line""</t>
  </si>
  <si>
    <t>:first-child"").attr({x1:E</t>
  </si>
  <si>
    <t>x2:E</t>
  </si>
  <si>
    <t>y1:I</t>
  </si>
  <si>
    <t>y2:P</t>
  </si>
  <si>
    <t>stroke-width"":D</t>
  </si>
  <si>
    <t>stroke:R</t>
  </si>
  <si>
    <t>stroke-dasharray"":p.dashStyle(n.spikedash</t>
  </si>
  <si>
    <t>D)}).classed(""spikeline""</t>
  </si>
  <si>
    <t>stroke-width"":D+2</t>
  </si>
  <si>
    <t>!0)}-1!==O.indexOf(""marker"")&amp;&amp;o.insert(""circle""</t>
  </si>
  <si>
    <t>:first-child"").attr({cx:E</t>
  </si>
  <si>
    <t>cy:F-(""top""!==n.side?D:-D)</t>
  </si>
  <si>
    <t>r:D</t>
  </si>
  <si>
    <t>fill:R}).classed(""spikeline""</t>
  </si>
  <si>
    <t>!0)}}}function U(t</t>
  </si>
  <si>
    <t>e){return!e||e.vLinePoint!==t._spikepoints.vLinePoint||e.hLinePoint!==t._spikepoints.hLinePoint}function V(t</t>
  </si>
  <si>
    <t>e){return h.plainText(t||""""</t>
  </si>
  <si>
    <t>{len:e</t>
  </si>
  <si>
    <t>allowedTags:[""br""</t>
  </si>
  <si>
    <t>sub""</t>
  </si>
  <si>
    <t>sup""</t>
  </si>
  <si>
    <t>b""</t>
  </si>
  <si>
    <t>i""</t>
  </si>
  <si>
    <t>em""</t>
  </si>
  <si>
    <t>s""</t>
  </si>
  <si>
    <t>u""]})}function q(t</t>
  </si>
  <si>
    <t>r){var n=e[t+""a""]</t>
  </si>
  <si>
    <t>i=e[t+""Val""]</t>
  </si>
  <si>
    <t>a=e.cd[0];if(""category""===n.type||""multicategory""===n.type)i=n._categoriesMap[i];else if(""date""===n.type){var o=e.trace[t+""periodalignment""];if(o){var s=e.cd[e.index]</t>
  </si>
  <si>
    <t>l=s[t+""Start""];void 0===l&amp;&amp;(l=s[t]);var c=s[t+""End""];void 0===c&amp;&amp;(c=s[t]);var u=c-l;""end""===o?i+=u:""middle""===o&amp;&amp;(i+=u/2)}i=n.d2c(i)}return a&amp;&amp;a.t&amp;&amp;a.t.posLetter===n._id&amp;&amp;(""group""!==r.boxmode&amp;&amp;""group""!==r.violinmode||(i+=a.t.dPos))</t>
  </si>
  <si>
    <t>i}function H(t){return t.offsetTop+t.clientTop}function G(t){return t.offsetLeft+t.clientLeft}function Z(t</t>
  </si>
  <si>
    <t>n=e.getBoundingClientRect()</t>
  </si>
  <si>
    <t>i=n.left</t>
  </si>
  <si>
    <t>a=n.top</t>
  </si>
  <si>
    <t>s=i+n.width</t>
  </si>
  <si>
    <t>l=a+n.height</t>
  </si>
  <si>
    <t>c=o.apply3DTransform(r._invTransform)(i</t>
  </si>
  <si>
    <t>u=o.apply3DTransform(r._invTransform)(s</t>
  </si>
  <si>
    <t>h=c[0]</t>
  </si>
  <si>
    <t>f=c[1]</t>
  </si>
  <si>
    <t>p=u[0]</t>
  </si>
  <si>
    <t>d=u[1];return{x:h</t>
  </si>
  <si>
    <t>y:f</t>
  </si>
  <si>
    <t>width:p-h</t>
  </si>
  <si>
    <t>height:d-f</t>
  </si>
  <si>
    <t>top:Math.min(f</t>
  </si>
  <si>
    <t>left:Math.min(h</t>
  </si>
  <si>
    <t>right:Math.max(h</t>
  </si>
  <si>
    <t>bottom:Math.max(f</t>
  </si>
  <si>
    <t>d)}}}</t>
  </si>
  <si>
    <t>26430:function(t</t>
  </si>
  <si>
    <t>i=r(78766)</t>
  </si>
  <si>
    <t>a=r(36040).isUnifiedHover;t.exports=function(t</t>
  </si>
  <si>
    <t>o){o=o||{};var s=e.legend;function l(t){o.font[t]||(o.font[t]=s?e.legend.font[t]:e.font[t])}e&amp;&amp;a(e.hovermode)&amp;&amp;(o.font||(o.font={})</t>
  </si>
  <si>
    <t>l(""size"")</t>
  </si>
  <si>
    <t>l(""family"")</t>
  </si>
  <si>
    <t>l(""color"")</t>
  </si>
  <si>
    <t>l(""weight"")</t>
  </si>
  <si>
    <t>l(""style"")</t>
  </si>
  <si>
    <t>l(""variant"")</t>
  </si>
  <si>
    <t>s?(o.bgcolor||(o.bgcolor=i.combine(e.legend.bgcolor</t>
  </si>
  <si>
    <t>e.paper_bgcolor))</t>
  </si>
  <si>
    <t>o.bordercolor||(o.bordercolor=e.legend.bordercolor)):o.bgcolor||(o.bgcolor=e.paper_bgcolor))</t>
  </si>
  <si>
    <t>r(""hoverlabel.bgcolor""</t>
  </si>
  <si>
    <t>o.bgcolor)</t>
  </si>
  <si>
    <t>r(""hoverlabel.bordercolor""</t>
  </si>
  <si>
    <t>o.bordercolor)</t>
  </si>
  <si>
    <t>r(""hoverlabel.namelength""</t>
  </si>
  <si>
    <t>o.namelength)</t>
  </si>
  <si>
    <t>n.coerceFont(r</t>
  </si>
  <si>
    <t>hoverlabel.font""</t>
  </si>
  <si>
    <t>o.font)</t>
  </si>
  <si>
    <t>r(""hoverlabel.align""</t>
  </si>
  <si>
    <t>o.align)}}</t>
  </si>
  <si>
    <t>45265:function(t</t>
  </si>
  <si>
    <t>i=r(6811);t.exports=function(t</t>
  </si>
  <si>
    <t>a){return void 0!==e[r]?e[r]:n.coerce(t</t>
  </si>
  <si>
    <t>a)}return r(""clickmode"")</t>
  </si>
  <si>
    <t>r(""hoversubplots"")</t>
  </si>
  <si>
    <t>r(""hovermode"")}}</t>
  </si>
  <si>
    <t>32141:function(t</t>
  </si>
  <si>
    <t>a=r(14751)</t>
  </si>
  <si>
    <t>o=r(36040)</t>
  </si>
  <si>
    <t>s=r(6811)</t>
  </si>
  <si>
    <t>l=r(38103);t.exports={moduleType:""component""</t>
  </si>
  <si>
    <t>name:""fx""</t>
  </si>
  <si>
    <t>constants:r(85988)</t>
  </si>
  <si>
    <t>schema:{layout:s}</t>
  </si>
  <si>
    <t>attributes:r(70192)</t>
  </si>
  <si>
    <t>layoutAttributes:s</t>
  </si>
  <si>
    <t>supplyLayoutGlobalDefaults:r(5358)</t>
  </si>
  <si>
    <t>supplyDefaults:r(3239)</t>
  </si>
  <si>
    <t>supplyLayoutDefaults:r(8412)</t>
  </si>
  <si>
    <t>calc:r(83552)</t>
  </si>
  <si>
    <t>getDistanceFunction:o.getDistanceFunction</t>
  </si>
  <si>
    <t>getClosest:o.getClosest</t>
  </si>
  <si>
    <t>inbox:o.inbox</t>
  </si>
  <si>
    <t>quadrature:o.quadrature</t>
  </si>
  <si>
    <t>appendArrayPointValue:o.appendArrayPointValue</t>
  </si>
  <si>
    <t>castHoverOption:function(t</t>
  </si>
  <si>
    <t>r){return i.castOption(t</t>
  </si>
  <si>
    <t>hoverlabel.""+r)}</t>
  </si>
  <si>
    <t>castHoverinfo:function(t</t>
  </si>
  <si>
    <t>hoverinfo""</t>
  </si>
  <si>
    <t>(function(r){return i.coerceHoverinfo({hoverinfo:r}</t>
  </si>
  <si>
    <t>e)}))}</t>
  </si>
  <si>
    <t>hover:l.hover</t>
  </si>
  <si>
    <t>unhover:a.unhover</t>
  </si>
  <si>
    <t>loneHover:l.loneHover</t>
  </si>
  <si>
    <t>loneUnhover:function(t){var e=i.isD3Selection(t)?t:n.select(t);e.selectAll(""g.hovertext"").remove()</t>
  </si>
  <si>
    <t>e.selectAll("".spikeline"").remove()}</t>
  </si>
  <si>
    <t>click:r(94225)}}</t>
  </si>
  <si>
    <t>6811:function(t</t>
  </si>
  <si>
    <t>r){""use strict"";var n=r(85988)</t>
  </si>
  <si>
    <t>a=i({editType:""none""});a.family.dflt=n.HOVERFONT</t>
  </si>
  <si>
    <t>a.size.dflt=n.HOVERFONTSIZE</t>
  </si>
  <si>
    <t>t.exports={clickmode:{valType:""flaglist""</t>
  </si>
  <si>
    <t>flags:[""event""</t>
  </si>
  <si>
    <t>select""]</t>
  </si>
  <si>
    <t>dflt:""event""</t>
  </si>
  <si>
    <t>editType:""plot""</t>
  </si>
  <si>
    <t>extras:[""none""]}</t>
  </si>
  <si>
    <t>dragmode:{valType:""enumerated""</t>
  </si>
  <si>
    <t>values:[""zoom""</t>
  </si>
  <si>
    <t>pan""</t>
  </si>
  <si>
    <t>select""</t>
  </si>
  <si>
    <t>lasso""</t>
  </si>
  <si>
    <t>drawclosedpath""</t>
  </si>
  <si>
    <t>drawopenpath""</t>
  </si>
  <si>
    <t>drawline""</t>
  </si>
  <si>
    <t>drawrect""</t>
  </si>
  <si>
    <t>drawcircle""</t>
  </si>
  <si>
    <t>orbit""</t>
  </si>
  <si>
    <t>turntable""</t>
  </si>
  <si>
    <t>!1]</t>
  </si>
  <si>
    <t>dflt:""zoom""</t>
  </si>
  <si>
    <t>editType:""modebar""}</t>
  </si>
  <si>
    <t>hovermode:{valType:""enumerated""</t>
  </si>
  <si>
    <t>values:[""x""</t>
  </si>
  <si>
    <t>y unified""]</t>
  </si>
  <si>
    <t>dflt:""closest""</t>
  </si>
  <si>
    <t>hoversubplots:{valType:""enumerated""</t>
  </si>
  <si>
    <t>values:[""single""</t>
  </si>
  <si>
    <t>overlaying""</t>
  </si>
  <si>
    <t>axis""]</t>
  </si>
  <si>
    <t>dflt:""overlaying""</t>
  </si>
  <si>
    <t>editType:""none""}</t>
  </si>
  <si>
    <t>hoverdistance:{valType:""integer""</t>
  </si>
  <si>
    <t>min:-1</t>
  </si>
  <si>
    <t>dflt:20</t>
  </si>
  <si>
    <t>spikedistance:{valType:""integer""</t>
  </si>
  <si>
    <t>dflt:-1</t>
  </si>
  <si>
    <t>hoverlabel:{bgcolor:{valType:""color""</t>
  </si>
  <si>
    <t>bordercolor:{valType:""color""</t>
  </si>
  <si>
    <t>font:a</t>
  </si>
  <si>
    <t>grouptitlefont:i({editType:""none""})</t>
  </si>
  <si>
    <t>align:{valType:""enumerated""</t>
  </si>
  <si>
    <t>right""</t>
  </si>
  <si>
    <t>auto""]</t>
  </si>
  <si>
    <t>dflt:""auto""</t>
  </si>
  <si>
    <t>namelength:{valType:""integer""</t>
  </si>
  <si>
    <t>dflt:15</t>
  </si>
  <si>
    <t>selectdirection:{valType:""enumerated""</t>
  </si>
  <si>
    <t>v""</t>
  </si>
  <si>
    <t>d""</t>
  </si>
  <si>
    <t>any""]</t>
  </si>
  <si>
    <t>dflt:""any""</t>
  </si>
  <si>
    <t>8412:function(t</t>
  </si>
  <si>
    <t>i=r(6811)</t>
  </si>
  <si>
    <t>a=r(45265)</t>
  </si>
  <si>
    <t>o=r(26430);t.exports=function(t</t>
  </si>
  <si>
    <t>a)}a(t</t>
  </si>
  <si>
    <t>e)&amp;&amp;(r(""hoverdistance"")</t>
  </si>
  <si>
    <t>r(""spikedistance""))</t>
  </si>
  <si>
    <t>select""===r(""dragmode"")&amp;&amp;r(""selectdirection"");var s=e._has(""mapbox"")</t>
  </si>
  <si>
    <t>l=e._has(""map"")</t>
  </si>
  <si>
    <t>c=e._has(""geo"")</t>
  </si>
  <si>
    <t>u=e._basePlotModules.length;""zoom""===e.dragmode&amp;&amp;((s||l||c)&amp;&amp;1===u||(s||l)&amp;&amp;c&amp;&amp;2===u)&amp;&amp;(e.dragmode=""pan"")</t>
  </si>
  <si>
    <t>o(t</t>
  </si>
  <si>
    <t>hoverlabel.grouptitlefont""</t>
  </si>
  <si>
    <t>e.hoverlabel.font)}}</t>
  </si>
  <si>
    <t>5358:function(t</t>
  </si>
  <si>
    <t>i=r(26430)</t>
  </si>
  <si>
    <t>a=r(6811);t.exports=function(t</t>
  </si>
  <si>
    <t>e){i(t</t>
  </si>
  <si>
    <t>83595:function(t</t>
  </si>
  <si>
    <t>a=r(13792).u</t>
  </si>
  <si>
    <t>o=r(54826).idRegex</t>
  </si>
  <si>
    <t>s=r(78032)</t>
  </si>
  <si>
    <t>l={rows:{valType:""integer""</t>
  </si>
  <si>
    <t>min:1</t>
  </si>
  <si>
    <t>roworder:{valType:""enumerated""</t>
  </si>
  <si>
    <t>values:[""top to bottom""</t>
  </si>
  <si>
    <t>bottom to top""]</t>
  </si>
  <si>
    <t>dflt:""top to bottom""</t>
  </si>
  <si>
    <t>columns:{valType:""integer""</t>
  </si>
  <si>
    <t>subplots:{valType:""info_array""</t>
  </si>
  <si>
    <t>freeLength:!0</t>
  </si>
  <si>
    <t>dimensions:2</t>
  </si>
  <si>
    <t>items:{valType:""enumerated""</t>
  </si>
  <si>
    <t>values:[i(""xy"").toString()</t>
  </si>
  <si>
    <t>"]</t>
  </si>
  <si>
    <t>xaxes:{valType:""info_array""</t>
  </si>
  <si>
    <t>values:[o.x.toString()</t>
  </si>
  <si>
    <t>yaxes:{valType:""info_array""</t>
  </si>
  <si>
    <t>values:[o.y.toString()</t>
  </si>
  <si>
    <t>pattern:{valType:""enumerated""</t>
  </si>
  <si>
    <t>values:[""independent""</t>
  </si>
  <si>
    <t>coupled""]</t>
  </si>
  <si>
    <t>dflt:""coupled""</t>
  </si>
  <si>
    <t>xgap:{valType:""number""</t>
  </si>
  <si>
    <t>ygap:{valType:""number""</t>
  </si>
  <si>
    <t>domain:a({name:""grid""</t>
  </si>
  <si>
    <t>noGridCell:!0}</t>
  </si>
  <si>
    <t>xside:{valType:""enumerated""</t>
  </si>
  <si>
    <t>values:[""bottom""</t>
  </si>
  <si>
    <t>bottom plot""</t>
  </si>
  <si>
    <t>top plot""</t>
  </si>
  <si>
    <t>top""]</t>
  </si>
  <si>
    <t>dflt:""bottom plot""</t>
  </si>
  <si>
    <t>yside:{valType:""enumerated""</t>
  </si>
  <si>
    <t>left plot""</t>
  </si>
  <si>
    <t>right plot""</t>
  </si>
  <si>
    <t>right""]</t>
  </si>
  <si>
    <t>dflt:""left plot""</t>
  </si>
  <si>
    <t>editType:""plot""};function c(t</t>
  </si>
  <si>
    <t>r){var n=e[r+""axes""]</t>
  </si>
  <si>
    <t>i=Object.keys((t._splomAxes||{})[r]||{});return Array.isArray(n)?n:i.length?i:void 0}function u(t</t>
  </si>
  <si>
    <t>a){var o=e(t+""gap""</t>
  </si>
  <si>
    <t>s=e(""domain.""+t);e(t+""side""</t>
  </si>
  <si>
    <t>n);for(var l=new Array(i)</t>
  </si>
  <si>
    <t>c=s[0]</t>
  </si>
  <si>
    <t>u=(s[1]-c)/(i-o)</t>
  </si>
  <si>
    <t>h=u*(1-o)</t>
  </si>
  <si>
    <t>f=0;f&lt;i;f++){var p=c+u*f;l[a?i-1-f:f]=[p</t>
  </si>
  <si>
    <t>p+h]}return l}function h(t</t>
  </si>
  <si>
    <t>i){var a</t>
  </si>
  <si>
    <t>o=new Array(r);function s(t</t>
  </si>
  <si>
    <t>r){-1!==e.indexOf(r)&amp;&amp;void 0===n[r]?(o[t]=r</t>
  </si>
  <si>
    <t>n[r]=t):o[t]=""""}if(Array.isArray(t))for(a=0;a&lt;r;a++)s(a</t>
  </si>
  <si>
    <t>t[a]);else for(s(0</t>
  </si>
  <si>
    <t>a=1;a&lt;r;a++)s(a</t>
  </si>
  <si>
    <t>i+(a+1));return o}t.exports={moduleType:""component""</t>
  </si>
  <si>
    <t>name:""grid""</t>
  </si>
  <si>
    <t>schema:{layout:{grid:l}}</t>
  </si>
  <si>
    <t>layoutAttributes:l</t>
  </si>
  <si>
    <t>sizeDefaults:function(t</t>
  </si>
  <si>
    <t>e){var r=t.grid||{}</t>
  </si>
  <si>
    <t>i=c(e</t>
  </si>
  <si>
    <t>a=c(e</t>
  </si>
  <si>
    <t>y"");if(t.grid||i||a){var o</t>
  </si>
  <si>
    <t>f=Array.isArray(r.subplots)&amp;&amp;Array.isArray(r.subplots[0])</t>
  </si>
  <si>
    <t>p=Array.isArray(i)</t>
  </si>
  <si>
    <t>d=Array.isArray(a)</t>
  </si>
  <si>
    <t>m=p&amp;&amp;i!==r.xaxes&amp;&amp;d&amp;&amp;a!==r.yaxes;f?(o=r.subplots.length</t>
  </si>
  <si>
    <t>h=r.subplots[0].length):(d&amp;&amp;(o=a.length)</t>
  </si>
  <si>
    <t>p&amp;&amp;(h=i.length));var g=s.newContainer(e</t>
  </si>
  <si>
    <t>grid"")</t>
  </si>
  <si>
    <t>y=k(""rows""</t>
  </si>
  <si>
    <t>o)</t>
  </si>
  <si>
    <t>v=k(""columns""</t>
  </si>
  <si>
    <t>h);if(y*v&gt;1){f||p||d||""independent""===k(""pattern"")&amp;&amp;(f=!0)</t>
  </si>
  <si>
    <t>g._hasSubplotGrid=f;var x</t>
  </si>
  <si>
    <t>b=""top to bottom""===k(""roworder"")</t>
  </si>
  <si>
    <t>w=f?.2:.1</t>
  </si>
  <si>
    <t>T=f?.3:.1;m&amp;&amp;e._splomGridDflt&amp;&amp;(x=e._splomGridDflt.xside</t>
  </si>
  <si>
    <t>_=e._splomGridDflt.yside)</t>
  </si>
  <si>
    <t>g._domains={x:u(""x""</t>
  </si>
  <si>
    <t>y:u(""y""</t>
  </si>
  <si>
    <t>b)}}else delete e.grid}function k(t</t>
  </si>
  <si>
    <t>e){return n.coerce(r</t>
  </si>
  <si>
    <t>e)}}</t>
  </si>
  <si>
    <t>contentDefaults:function(t</t>
  </si>
  <si>
    <t>e){var r=e.grid;if(r&amp;&amp;r._domains){var n</t>
  </si>
  <si>
    <t>f=t.grid||{}</t>
  </si>
  <si>
    <t>p=e._subplots</t>
  </si>
  <si>
    <t>d=r._hasSubplotGrid</t>
  </si>
  <si>
    <t>m=r.rows</t>
  </si>
  <si>
    <t>g=r.columns</t>
  </si>
  <si>
    <t>y=""independent""===r.pattern</t>
  </si>
  <si>
    <t>v=r._axisMap={};if(d){var x=f.subplots||[];l=r.subplots=new Array(m);var _=1;for(n=0;n&lt;m;n++){var b=l[n]=new Array(g)</t>
  </si>
  <si>
    <t>w=x[n]||[];for(i=0;i&lt;g;i++)if(y?(s=1===_?""xy"":""x""+_+""y""+_</t>
  </si>
  <si>
    <t>_++):s=w[i]</t>
  </si>
  <si>
    <t>b[i]=""""</t>
  </si>
  <si>
    <t>-1!==p.cartesian.indexOf(s)){if(u=s.indexOf(""y"")</t>
  </si>
  <si>
    <t>a=s.slice(0</t>
  </si>
  <si>
    <t>o=s.slice(u)</t>
  </si>
  <si>
    <t>void 0!==v[a]&amp;&amp;v[a]!==i||void 0!==v[o]&amp;&amp;v[o]!==n)continue;b[i]=s</t>
  </si>
  <si>
    <t>v[a]=i</t>
  </si>
  <si>
    <t>v[o]=n}}}else{var T=c(e</t>
  </si>
  <si>
    <t>k=c(e</t>
  </si>
  <si>
    <t>y"");r.xaxes=h(T</t>
  </si>
  <si>
    <t>p.xaxis</t>
  </si>
  <si>
    <t>r.yaxes=h(k</t>
  </si>
  <si>
    <t>p.yaxis</t>
  </si>
  <si>
    <t>y"")}var A=r._anchors={}</t>
  </si>
  <si>
    <t>M=""top to bottom""===r.roworder;for(var S in v){var E</t>
  </si>
  <si>
    <t>I=S.charAt(0)</t>
  </si>
  <si>
    <t>P=r[I+""side""];if(P.length&lt;8)A[S]=""free"";else if(""x""===I){if(""t""===P.charAt(0)===M?(E=0</t>
  </si>
  <si>
    <t>C=1</t>
  </si>
  <si>
    <t>L=m):(E=m-1</t>
  </si>
  <si>
    <t>C=-1</t>
  </si>
  <si>
    <t>L=-1)</t>
  </si>
  <si>
    <t>d){var z=v[S];for(n=E;n!==L;n+=C)if((s=l[n][z])&amp;&amp;(u=s.indexOf(""y"")</t>
  </si>
  <si>
    <t>s.slice(0</t>
  </si>
  <si>
    <t>u)===S)){A[S]=s.slice(u);break}}else for(n=E;n!==L;n+=C)if(o=r.yaxes[n]</t>
  </si>
  <si>
    <t>-1!==p.cartesian.indexOf(S+o)){A[S]=o;break}}else if(""l""===P.charAt(0)?(E=0</t>
  </si>
  <si>
    <t>L=g):(E=g-1</t>
  </si>
  <si>
    <t>d){var O=v[S];for(n=E;n!==L;n+=C)if((s=l[O][n])&amp;&amp;(u=s.indexOf(""y"")</t>
  </si>
  <si>
    <t>s.slice(u)===S)){A[S]=s.slice(0</t>
  </si>
  <si>
    <t>u);break}}else for(n=E;n!==L;n+=C)if(a=r.xaxes[n]</t>
  </si>
  <si>
    <t>-1!==p.cartesian.indexOf(a+S)){A[S]=a;break}}}}}}</t>
  </si>
  <si>
    <t>37260:function(t</t>
  </si>
  <si>
    <t>r){""use strict"";var n=r(54826)</t>
  </si>
  <si>
    <t>i=r(78032).templatedArray;r(35081)</t>
  </si>
  <si>
    <t>t.exports=i(""image""</t>
  </si>
  <si>
    <t>{visible:{valType:""boolean""</t>
  </si>
  <si>
    <t>editType:""arraydraw""}</t>
  </si>
  <si>
    <t>source:{valType:""string""</t>
  </si>
  <si>
    <t>layer:{valType:""enumerated""</t>
  </si>
  <si>
    <t>values:[""below""</t>
  </si>
  <si>
    <t>above""]</t>
  </si>
  <si>
    <t>dflt:""above""</t>
  </si>
  <si>
    <t>sizex:{valType:""number""</t>
  </si>
  <si>
    <t>sizey:{valType:""number""</t>
  </si>
  <si>
    <t>sizing:{valType:""enumerated""</t>
  </si>
  <si>
    <t>values:[""fill""</t>
  </si>
  <si>
    <t>contain""</t>
  </si>
  <si>
    <t>stretch""]</t>
  </si>
  <si>
    <t>dflt:""contain""</t>
  </si>
  <si>
    <t>opacity:{valType:""number""</t>
  </si>
  <si>
    <t>dflt:1</t>
  </si>
  <si>
    <t>x:{valType:""any""</t>
  </si>
  <si>
    <t>y:{valType:""any""</t>
  </si>
  <si>
    <t>dflt:""left""</t>
  </si>
  <si>
    <t>dflt:""top""</t>
  </si>
  <si>
    <t>values:[""paper""</t>
  </si>
  <si>
    <t>n.idRegex.x.toString()]</t>
  </si>
  <si>
    <t>n.idRegex.y.toString()]</t>
  </si>
  <si>
    <t>editType:""arraydraw""})}</t>
  </si>
  <si>
    <t>89443:function(t</t>
  </si>
  <si>
    <t>i=r(8083);t.exports=function(t</t>
  </si>
  <si>
    <t>a){e=e||{};var o=""log""===r&amp;&amp;""linear""===e.type</t>
  </si>
  <si>
    <t>s=""linear""===r&amp;&amp;""log""===e.type;if(o||s)for(var l</t>
  </si>
  <si>
    <t>u=t._fullLayout.images</t>
  </si>
  <si>
    <t>h=e._id.charAt(0)</t>
  </si>
  <si>
    <t>f=0;f&lt;u.length;f++)if(c=""images[""+f+""].""</t>
  </si>
  <si>
    <t>(l=u[f])[h+""ref""]===e._id){var p=l[h]</t>
  </si>
  <si>
    <t>d=l[""size""+h]</t>
  </si>
  <si>
    <t>m=null</t>
  </si>
  <si>
    <t>g=null;if(o){m=i(p</t>
  </si>
  <si>
    <t>e.range);var y=d/Math.pow(10</t>
  </si>
  <si>
    <t>m)/2;g=2*Math.log(y+Math.sqrt(1+y*y))/Math.LN10}else g=(m=Math.pow(10</t>
  </si>
  <si>
    <t>p))*(Math.pow(10</t>
  </si>
  <si>
    <t>d/2)-Math.pow(10</t>
  </si>
  <si>
    <t>-d/2));n(m)?n(g)||(g=null):(m=null</t>
  </si>
  <si>
    <t>g=null)</t>
  </si>
  <si>
    <t>a(c+h</t>
  </si>
  <si>
    <t>a(c+""size""+h</t>
  </si>
  <si>
    <t>g)}}}</t>
  </si>
  <si>
    <t>507:function(t</t>
  </si>
  <si>
    <t>i=r(29714)</t>
  </si>
  <si>
    <t>a=r(59008)</t>
  </si>
  <si>
    <t>o=r(37260);function s(t</t>
  </si>
  <si>
    <t>r){function a(r</t>
  </si>
  <si>
    <t>i)}var s=a(""source"");if(!a(""visible""</t>
  </si>
  <si>
    <t>!!s))return e;a(""layer"")</t>
  </si>
  <si>
    <t>a(""xanchor"")</t>
  </si>
  <si>
    <t>a(""yanchor"")</t>
  </si>
  <si>
    <t>a(""sizex"")</t>
  </si>
  <si>
    <t>a(""sizey"")</t>
  </si>
  <si>
    <t>a(""sizing"")</t>
  </si>
  <si>
    <t>a(""opacity"");for(var l={_fullLayout:r}</t>
  </si>
  <si>
    <t>c=[""x""</t>
  </si>
  <si>
    <t>y""]</t>
  </si>
  <si>
    <t>u=0;u&lt;2;u++){var h=c[u]</t>
  </si>
  <si>
    <t>f=i.coerceRef(t</t>
  </si>
  <si>
    <t>paper""</t>
  </si>
  <si>
    <t>void 0);""paper""!==f&amp;&amp;i.getFromId(l</t>
  </si>
  <si>
    <t>f)._imgIndices.push(e._index)</t>
  </si>
  <si>
    <t>i.coercePosition(e</t>
  </si>
  <si>
    <t>0)}return e}t.exports=function(t</t>
  </si>
  <si>
    <t>e){a(t</t>
  </si>
  <si>
    <t>{name:""images""</t>
  </si>
  <si>
    <t>handleItemDefaults:s})}}</t>
  </si>
  <si>
    <t>32211:function(t</t>
  </si>
  <si>
    <t>i=r(62203)</t>
  </si>
  <si>
    <t>o=r(5975)</t>
  </si>
  <si>
    <t>s=r(62972);t.exports=function(t){var e</t>
  </si>
  <si>
    <t>l=t._fullLayout</t>
  </si>
  <si>
    <t>c=[]</t>
  </si>
  <si>
    <t>u={}</t>
  </si>
  <si>
    <t>h=[];for(r=0;r&lt;l.images.length;r++){var f=l.images[r];if(f.visible)if(""below""===f.layer&amp;&amp;""paper""!==f.xref&amp;&amp;""paper""!==f.yref){e=o.ref2id(f.xref)+o.ref2id(f.yref);var p=l._plots[e];if(!p){h.push(f);continue}p.mainplot&amp;&amp;(e=p.mainplot.id)</t>
  </si>
  <si>
    <t>u[e]||(u[e]=[])</t>
  </si>
  <si>
    <t>u[e].push(f)}else""above""===f.layer?c.push(f):h.push(f)}var d={left:{sizing:""xMin""</t>
  </si>
  <si>
    <t>offset:0}</t>
  </si>
  <si>
    <t>center:{sizing:""xMid""</t>
  </si>
  <si>
    <t>offset:-.5}</t>
  </si>
  <si>
    <t>right:{sizing:""xMax""</t>
  </si>
  <si>
    <t>offset:-1}}</t>
  </si>
  <si>
    <t>m={top:{sizing:""YMin""</t>
  </si>
  <si>
    <t>middle:{sizing:""YMid""</t>
  </si>
  <si>
    <t>bottom:{sizing:""YMax""</t>
  </si>
  <si>
    <t>offset:-1}};function g(e){var r=n.select(this);if(this._imgSrc!==e.source)if(r.attr(""xmlns""</t>
  </si>
  <si>
    <t>s.svg)</t>
  </si>
  <si>
    <t>e.source&amp;&amp;""data:""===e.source.slice(0</t>
  </si>
  <si>
    <t>5))r.attr(""xlink:href""</t>
  </si>
  <si>
    <t>e.source)</t>
  </si>
  <si>
    <t>this._imgSrc=e.source;else{var i=new Promise(function(t){var n=new Image;function i(){r.remove()</t>
  </si>
  <si>
    <t>t()}this.img=n</t>
  </si>
  <si>
    <t>n.setAttribute(""crossOrigin""</t>
  </si>
  <si>
    <t>anonymous"")</t>
  </si>
  <si>
    <t>n.onerror=i</t>
  </si>
  <si>
    <t>n.onload=function(){var e=document.createElement(""canvas"");e.width=this.width</t>
  </si>
  <si>
    <t>e.height=this.height</t>
  </si>
  <si>
    <t>e.getContext(""2d""</t>
  </si>
  <si>
    <t>{willReadFrequently:!0}).drawImage(this</t>
  </si>
  <si>
    <t>0);var n=e.toDataURL(""image/png"");r.attr(""xlink:href""</t>
  </si>
  <si>
    <t>t()}</t>
  </si>
  <si>
    <t>r.on(""error""</t>
  </si>
  <si>
    <t>n.src=e.source</t>
  </si>
  <si>
    <t>this._imgSrc=e.source}.bind(this));t._promises.push(i)}}function y(e){var r</t>
  </si>
  <si>
    <t>s=n.select(this)</t>
  </si>
  <si>
    <t>e.xref)</t>
  </si>
  <si>
    <t>u=a.getFromId(t</t>
  </si>
  <si>
    <t>e.yref)</t>
  </si>
  <si>
    <t>h=""domain""===a.getRefType(e.xref)</t>
  </si>
  <si>
    <t>f=""domain""===a.getRefType(e.yref)</t>
  </si>
  <si>
    <t>p=l._size;r=void 0!==c?""string""==typeof e.xref&amp;&amp;h?c._length*e.sizex:Math.abs(c.l2p(e.sizex)-c.l2p(0)):e.sizex*p.w</t>
  </si>
  <si>
    <t>o=void 0!==u?""string""==typeof e.yref&amp;&amp;f?u._length*e.sizey:Math.abs(u.l2p(e.sizey)-u.l2p(0)):e.sizey*p.h;var g</t>
  </si>
  <si>
    <t>v=r*d[e.xanchor].offset</t>
  </si>
  <si>
    <t>x=o*m[e.yanchor].offset</t>
  </si>
  <si>
    <t>_=d[e.xanchor].sizing+m[e.yanchor].sizing;switch(g=void 0!==c?""string""==typeof e.xref&amp;&amp;h?c._length*e.x+c._offset:c.r2p(e.x)+c._offset:e.x*p.w+p.l</t>
  </si>
  <si>
    <t>g+=v</t>
  </si>
  <si>
    <t>y=void 0!==u?""string""==typeof e.yref&amp;&amp;f?u._length*(1-e.y)+u._offset:u.r2p(e.y)+u._offset:p.h-e.y*p.h+p.t</t>
  </si>
  <si>
    <t>y+=x</t>
  </si>
  <si>
    <t>e.sizing){case""fill"":_+="" slice"";break;case""stretch"":_=""none""}s.attr({x:g</t>
  </si>
  <si>
    <t>y:y</t>
  </si>
  <si>
    <t>width:r</t>
  </si>
  <si>
    <t>height:o</t>
  </si>
  <si>
    <t>preserveAspectRatio:_</t>
  </si>
  <si>
    <t>opacity:e.opacity});var b=(c&amp;&amp;""domain""!==a.getRefType(e.xref)?c._id:"""")+(u&amp;&amp;""domain""!==a.getRefType(e.yref)?u._id:"""");i.setClipUrl(s</t>
  </si>
  <si>
    <t>b?""clip""+l._uid+b:null</t>
  </si>
  <si>
    <t>t)}var v=l._imageLowerLayer.selectAll(""image"").data(h)</t>
  </si>
  <si>
    <t>x=l._imageUpperLayer.selectAll(""image"").data(c);v.enter().append(""image"")</t>
  </si>
  <si>
    <t>x.enter().append(""image"")</t>
  </si>
  <si>
    <t>v.exit().remove()</t>
  </si>
  <si>
    <t>x.exit().remove()</t>
  </si>
  <si>
    <t>v.each((function(t){g.bind(this)(t)</t>
  </si>
  <si>
    <t>y.bind(this)(t)}))</t>
  </si>
  <si>
    <t>x.each((function(t){g.bind(this)(t)</t>
  </si>
  <si>
    <t>y.bind(this)(t)}));var _=Object.keys(l._plots);for(r=0;r&lt;_.length;r++){e=_[r];var b=l._plots[e];if(b.imagelayer){var w=b.imagelayer.selectAll(""image"").data(u[e]||[]);w.enter().append(""image"")</t>
  </si>
  <si>
    <t>w.exit().remove()</t>
  </si>
  <si>
    <t>w.each((function(t){g.bind(this)(t)</t>
  </si>
  <si>
    <t>y.bind(this)(t)}))}}}}</t>
  </si>
  <si>
    <t>15553:function(t</t>
  </si>
  <si>
    <t>name:""images""</t>
  </si>
  <si>
    <t>layoutAttributes:r(37260)</t>
  </si>
  <si>
    <t>supplyLayoutDefaults:r(507)</t>
  </si>
  <si>
    <t>includeBasePlot:r(20706)(""images"")</t>
  </si>
  <si>
    <t>draw:r(32211)</t>
  </si>
  <si>
    <t>convertCoords:r(89443)}}</t>
  </si>
  <si>
    <t>86405:function(t</t>
  </si>
  <si>
    <t>i=r(10229);t.exports={_isSubplotObj:!0</t>
  </si>
  <si>
    <t>visible:{valType:""boolean""</t>
  </si>
  <si>
    <t>editType:""legend""}</t>
  </si>
  <si>
    <t>dflt:i.defaultLine</t>
  </si>
  <si>
    <t>font:n({editType:""legend""})</t>
  </si>
  <si>
    <t>grouptitlefont:n({editType:""legend""})</t>
  </si>
  <si>
    <t>orientation:{valType:""enumerated""</t>
  </si>
  <si>
    <t>values:[""v""</t>
  </si>
  <si>
    <t>h""]</t>
  </si>
  <si>
    <t>dflt:""v""</t>
  </si>
  <si>
    <t>traceorder:{valType:""flaglist""</t>
  </si>
  <si>
    <t>flags:[""reversed""</t>
  </si>
  <si>
    <t>grouped""]</t>
  </si>
  <si>
    <t>extras:[""normal""]</t>
  </si>
  <si>
    <t>tracegroupgap:{valType:""number""</t>
  </si>
  <si>
    <t>entrywidth:{valType:""number""</t>
  </si>
  <si>
    <t>entrywidthmode:{valType:""enumerated""</t>
  </si>
  <si>
    <t>dflt:""pixels""</t>
  </si>
  <si>
    <t>indentation:{valType:""number""</t>
  </si>
  <si>
    <t>min:-15</t>
  </si>
  <si>
    <t>itemsizing:{valType:""enumerated""</t>
  </si>
  <si>
    <t>values:[""trace""</t>
  </si>
  <si>
    <t>constant""]</t>
  </si>
  <si>
    <t>dflt:""trace""</t>
  </si>
  <si>
    <t>itemwidth:{valType:""number""</t>
  </si>
  <si>
    <t>min:30</t>
  </si>
  <si>
    <t>dflt:30</t>
  </si>
  <si>
    <t>itemclick:{valType:""enumerated""</t>
  </si>
  <si>
    <t>values:[""toggle""</t>
  </si>
  <si>
    <t>toggleothers""</t>
  </si>
  <si>
    <t>dflt:""toggle""</t>
  </si>
  <si>
    <t>itemdoubleclick:{valType:""enumerated""</t>
  </si>
  <si>
    <t>dflt:""toggleothers""</t>
  </si>
  <si>
    <t>groupclick:{valType:""enumerated""</t>
  </si>
  <si>
    <t>values:[""toggleitem""</t>
  </si>
  <si>
    <t>togglegroup""]</t>
  </si>
  <si>
    <t>dflt:""togglegroup""</t>
  </si>
  <si>
    <t>x:{valType:""number""</t>
  </si>
  <si>
    <t>values:[""auto""</t>
  </si>
  <si>
    <t>left""</t>
  </si>
  <si>
    <t>y:{valType:""number""</t>
  </si>
  <si>
    <t>uirevision:{valType:""any""</t>
  </si>
  <si>
    <t>valign:{valType:""enumerated""</t>
  </si>
  <si>
    <t>dflt:""middle""</t>
  </si>
  <si>
    <t>title:{text:{valType:""string""</t>
  </si>
  <si>
    <t>top left""</t>
  </si>
  <si>
    <t>top center""</t>
  </si>
  <si>
    <t>top right""]</t>
  </si>
  <si>
    <t>editType:""legend""}}</t>
  </si>
  <si>
    <t>72783:function(t){""use strict"";t.exports={scrollBarWidth:6</t>
  </si>
  <si>
    <t>scrollBarMinHeight:20</t>
  </si>
  <si>
    <t>scrollBarColor:""#808BA4""</t>
  </si>
  <si>
    <t>scrollBarMargin:4</t>
  </si>
  <si>
    <t>scrollBarEnterAttrs:{rx:20</t>
  </si>
  <si>
    <t>ry:3</t>
  </si>
  <si>
    <t>width:0</t>
  </si>
  <si>
    <t>height:0}</t>
  </si>
  <si>
    <t>titlePad:2</t>
  </si>
  <si>
    <t>itemGap:5}}</t>
  </si>
  <si>
    <t>73970:function(t</t>
  </si>
  <si>
    <t>a=r(78032)</t>
  </si>
  <si>
    <t>o=r(9829)</t>
  </si>
  <si>
    <t>s=r(86405)</t>
  </si>
  <si>
    <t>l=r(6704)</t>
  </si>
  <si>
    <t>c=r(57599);function u(t</t>
  </si>
  <si>
    <t>u){var h=e[t]||{}</t>
  </si>
  <si>
    <t>f=a.newContainer(r</t>
  </si>
  <si>
    <t>t);function p(t</t>
  </si>
  <si>
    <t>e){return i.coerce(h</t>
  </si>
  <si>
    <t>e)}var d=i.coerceFont(p</t>
  </si>
  <si>
    <t>font""</t>
  </si>
  <si>
    <t>r.font);if(p(""bgcolor""</t>
  </si>
  <si>
    <t>r.paper_bgcolor)</t>
  </si>
  <si>
    <t>p(""bordercolor"")</t>
  </si>
  <si>
    <t>p(""visible"")){for(var m</t>
  </si>
  <si>
    <t>g=function(t</t>
  </si>
  <si>
    <t>e){var r=m._input</t>
  </si>
  <si>
    <t>n=m;return i.coerce(r</t>
  </si>
  <si>
    <t>e)}</t>
  </si>
  <si>
    <t>y=r.font||{}</t>
  </si>
  <si>
    <t>v=i.coerceFont(p</t>
  </si>
  <si>
    <t>grouptitlefont""</t>
  </si>
  <si>
    <t>{overrideDflt:{size:Math.round(1.1*y.size)}})</t>
  </si>
  <si>
    <t>x=0</t>
  </si>
  <si>
    <t>_=!1</t>
  </si>
  <si>
    <t>b=""normal""</t>
  </si>
  <si>
    <t>w=(r.shapes||[]).filter((function(t){return t.showlegend}))</t>
  </si>
  <si>
    <t>T=u.concat(w).filter((function(e){return t===(e.legend||""legend"")}))</t>
  </si>
  <si>
    <t>k=0;k&lt;T.length;k++)if((m=T[k]).visible){var A=m._isShape;(m.showlegend||m._dfltShowLegend&amp;&amp;!(m._module&amp;&amp;m._module.attributes&amp;&amp;m._module.attributes.showlegend&amp;&amp;!1===m._module.attributes.showlegend.dflt))&amp;&amp;(x++</t>
  </si>
  <si>
    <t>m.showlegend&amp;&amp;(_=!0</t>
  </si>
  <si>
    <t>(!A&amp;&amp;n.traceIs(m</t>
  </si>
  <si>
    <t>pie-like"")||!0===m._input.showlegend)&amp;&amp;x++)</t>
  </si>
  <si>
    <t>i.coerceFont(g</t>
  </si>
  <si>
    <t>legendgrouptitle.font""</t>
  </si>
  <si>
    <t>v))</t>
  </si>
  <si>
    <t>bar"")&amp;&amp;""stack""===r.barmode||-1!==[""tonextx""</t>
  </si>
  <si>
    <t>tonexty""].indexOf(m.fill))&amp;&amp;(b=c.isGrouped({traceorder:b})?""grouped+reversed"":""reversed"")</t>
  </si>
  <si>
    <t>void 0!==m.legendgroup&amp;&amp;""""!==m.legendgroup&amp;&amp;(b=c.isReversed({traceorder:b})?""reversed+grouped"":""grouped"")}var M=i.coerce(e</t>
  </si>
  <si>
    <t>showlegend""</t>
  </si>
  <si>
    <t>_&amp;&amp;x&gt;(""legend""===t?1:0));if(!1===M&amp;&amp;(r[t]=void 0)</t>
  </si>
  <si>
    <t>(!1!==M||h.uirevision)&amp;&amp;(p(""uirevision""</t>
  </si>
  <si>
    <t>r.uirevision)</t>
  </si>
  <si>
    <t>!1!==M)){p(""borderwidth"");var S</t>
  </si>
  <si>
    <t>L=""h""===p(""orientation"")</t>
  </si>
  <si>
    <t>I=""paper""===p(""yref"")</t>
  </si>
  <si>
    <t>P=""paper""===p(""xref"")</t>
  </si>
  <si>
    <t>z=""left"";if(L?(S=0</t>
  </si>
  <si>
    <t>n.getComponentMethod(""rangeslider""</t>
  </si>
  <si>
    <t>isVisible"")(e.xaxis)?I?(E=1.1</t>
  </si>
  <si>
    <t>C=""bottom""):(E=1</t>
  </si>
  <si>
    <t>C=""top""):I?(E=-.1</t>
  </si>
  <si>
    <t>C=""top""):(E=0</t>
  </si>
  <si>
    <t>C=""bottom"")):(E=1</t>
  </si>
  <si>
    <t>C=""auto""</t>
  </si>
  <si>
    <t>P?S=1.02:(S=1</t>
  </si>
  <si>
    <t>z=""right""))</t>
  </si>
  <si>
    <t>i.coerce(h</t>
  </si>
  <si>
    <t>editType:""legend""</t>
  </si>
  <si>
    <t>min:P?-2:0</t>
  </si>
  <si>
    <t>max:P?3:1</t>
  </si>
  <si>
    <t>dflt:S}}</t>
  </si>
  <si>
    <t>min:I?-2:0</t>
  </si>
  <si>
    <t>max:I?3:1</t>
  </si>
  <si>
    <t>dflt:E}}</t>
  </si>
  <si>
    <t>p(""traceorder""</t>
  </si>
  <si>
    <t>c.isGrouped(r[t])&amp;&amp;p(""tracegroupgap"")</t>
  </si>
  <si>
    <t>p(""entrywidth"")</t>
  </si>
  <si>
    <t>p(""entrywidthmode"")</t>
  </si>
  <si>
    <t>p(""indentation"")</t>
  </si>
  <si>
    <t>p(""itemsizing"")</t>
  </si>
  <si>
    <t>p(""itemwidth"")</t>
  </si>
  <si>
    <t>p(""itemclick"")</t>
  </si>
  <si>
    <t>p(""itemdoubleclick"")</t>
  </si>
  <si>
    <t>p(""groupclick"")</t>
  </si>
  <si>
    <t>p(""xanchor""</t>
  </si>
  <si>
    <t>z)</t>
  </si>
  <si>
    <t>p(""yanchor""</t>
  </si>
  <si>
    <t>p(""valign"")</t>
  </si>
  <si>
    <t>i.noneOrAll(h</t>
  </si>
  <si>
    <t>p(""title.text"")){p(""title.side""</t>
  </si>
  <si>
    <t>L?""left"":""top"");var O=i.extendFlat({}</t>
  </si>
  <si>
    <t>{size:i.bigFont(d.size)});i.coerceFont(p</t>
  </si>
  <si>
    <t>O)}}}}t.exports=function(t</t>
  </si>
  <si>
    <t>a=r.slice()</t>
  </si>
  <si>
    <t>o=e.shapes;if(o)for(n=0;n&lt;o.length;n++){var s=o[n];if(s.showlegend){var l={_input:s._input</t>
  </si>
  <si>
    <t>visible:s.visible</t>
  </si>
  <si>
    <t>showlegend:s.showlegend</t>
  </si>
  <si>
    <t>legend:s.legend};a.push(l)}}var c=[""legend""];for(n=0;n&lt;a.length;n++)i.pushUnique(c</t>
  </si>
  <si>
    <t>a[n].legend);for(e._legends=[]</t>
  </si>
  <si>
    <t>n=0;n&lt;c.length;n++){var h=c[n];u(h</t>
  </si>
  <si>
    <t>e[h]&amp;&amp;e[h].visible&amp;&amp;(e[h]._id=h)</t>
  </si>
  <si>
    <t>e._legends.push(h)}}}</t>
  </si>
  <si>
    <t>6134:function(t</t>
  </si>
  <si>
    <t>s=r(68596)</t>
  </si>
  <si>
    <t>c=r(62203)</t>
  </si>
  <si>
    <t>u=r(78766)</t>
  </si>
  <si>
    <t>f=r(22165)</t>
  </si>
  <si>
    <t>p=r(72783)</t>
  </si>
  <si>
    <t>d=r(4530)</t>
  </si>
  <si>
    <t>m=d.LINE_SPACING</t>
  </si>
  <si>
    <t>g=d.FROM_TL</t>
  </si>
  <si>
    <t>y=d.FROM_BR</t>
  </si>
  <si>
    <t>v=r(851)</t>
  </si>
  <si>
    <t>x=r(14375)</t>
  </si>
  <si>
    <t>_=r(57599)</t>
  </si>
  <si>
    <t>b=1</t>
  </si>
  <si>
    <t>w=/^legend[0-9]*$/;function T(t</t>
  </si>
  <si>
    <t>f=e||{}</t>
  </si>
  <si>
    <t>d=t._fullLayout</t>
  </si>
  <si>
    <t>w=P(f)</t>
  </si>
  <si>
    <t>T=f._inHover;if(T?(s=f.layer</t>
  </si>
  <si>
    <t>r=""hover""):(s=d._infolayer</t>
  </si>
  <si>
    <t>r=w)</t>
  </si>
  <si>
    <t>s){var S;if(r+=d._uid</t>
  </si>
  <si>
    <t>t._legendMouseDownTime||(t._legendMouseDownTime=0)</t>
  </si>
  <si>
    <t>T){if(!f.entries)return;S=v(f.entries</t>
  </si>
  <si>
    <t>f)}else{for(var z=(t.calcdata||[]).slice()</t>
  </si>
  <si>
    <t>O=d.shapes</t>
  </si>
  <si>
    <t>D=0;D&lt;O.length;D++){var R=O[D];if(R.showlegend){var F={_isShape:!0</t>
  </si>
  <si>
    <t>_fullInput:R</t>
  </si>
  <si>
    <t>index:R._index</t>
  </si>
  <si>
    <t>name:R.name||R.label.text||""shape ""+R._index</t>
  </si>
  <si>
    <t>legend:R.legend</t>
  </si>
  <si>
    <t>legendgroup:R.legendgroup</t>
  </si>
  <si>
    <t>legendgrouptitle:R.legendgrouptitle</t>
  </si>
  <si>
    <t>legendrank:R.legendrank</t>
  </si>
  <si>
    <t>legendwidth:R.legendwidth</t>
  </si>
  <si>
    <t>showlegend:R.showlegend</t>
  </si>
  <si>
    <t>visible:R.visible</t>
  </si>
  <si>
    <t>opacity:R.opacity</t>
  </si>
  <si>
    <t>mode:""line""===R.type?""lines"":""markers""</t>
  </si>
  <si>
    <t>line:R.line</t>
  </si>
  <si>
    <t>marker:{line:R.line</t>
  </si>
  <si>
    <t>color:R.fillcolor</t>
  </si>
  <si>
    <t>size:12</t>
  </si>
  <si>
    <t>symbol:""rect""===R.type?""square"":""circle""===R.type?""circle"":""hexagon2""}};z.push([{trace:F}])}}S=d.showlegend&amp;&amp;v(z</t>
  </si>
  <si>
    <t>d._legends.length&gt;1)}var B=d.hiddenlabels||[];if(!(T||d.showlegend&amp;&amp;S.length))return s.selectAll("".""+w).remove()</t>
  </si>
  <si>
    <t>d._topdefs.select(""#""+r).remove()</t>
  </si>
  <si>
    <t>a.autoMargin(t</t>
  </si>
  <si>
    <t>w);var N=i.ensureSingle(s</t>
  </si>
  <si>
    <t>(function(t){T||t.attr(""pointer-events""</t>
  </si>
  <si>
    <t>all"")}))</t>
  </si>
  <si>
    <t>j=i.ensureSingleById(d._topdefs</t>
  </si>
  <si>
    <t>clipPath""</t>
  </si>
  <si>
    <t>(function(t){t.append(""rect"")}))</t>
  </si>
  <si>
    <t>U=i.ensureSingle(N</t>
  </si>
  <si>
    <t>bg""</t>
  </si>
  <si>
    <t>(function(t){t.attr(""shape-rendering""</t>
  </si>
  <si>
    <t>crispEdges"")}));U.call(u.stroke</t>
  </si>
  <si>
    <t>f.bordercolor).call(u.fill</t>
  </si>
  <si>
    <t>f.bgcolor).style(""stroke-width""</t>
  </si>
  <si>
    <t>f.borderwidth+""px"");var V</t>
  </si>
  <si>
    <t>q=i.ensureSingle(N</t>
  </si>
  <si>
    <t>scrollbox"")</t>
  </si>
  <si>
    <t>H=f.title;f._titleWidth=0</t>
  </si>
  <si>
    <t>f._titleHeight=0</t>
  </si>
  <si>
    <t>H.text?((V=i.ensureSingle(q</t>
  </si>
  <si>
    <t>w+""titletext"")).attr(""text-anchor""</t>
  </si>
  <si>
    <t>start"").call(c.font</t>
  </si>
  <si>
    <t>H.font).text(H.text)</t>
  </si>
  <si>
    <t>C(V</t>
  </si>
  <si>
    <t>q</t>
  </si>
  <si>
    <t>b)):q.selectAll("".""+w+""titletext"").remove();var G=i.ensureSingle(N</t>
  </si>
  <si>
    <t>scrollbar""</t>
  </si>
  <si>
    <t>(function(t){t.attr(p.scrollBarEnterAttrs).call(u.fill</t>
  </si>
  <si>
    <t>p.scrollBarColor)}))</t>
  </si>
  <si>
    <t>Z=q.selectAll(""g.groups"").data(S);Z.enter().append(""g"").attr(""class""</t>
  </si>
  <si>
    <t>groups"")</t>
  </si>
  <si>
    <t>Z.exit().remove();var W=Z.selectAll(""g.traces"").data(i.identity);W.enter().append(""g"").attr(""class""</t>
  </si>
  <si>
    <t>traces"")</t>
  </si>
  <si>
    <t>W.exit().remove()</t>
  </si>
  <si>
    <t>W.style(""opacity""</t>
  </si>
  <si>
    <t>(function(t){var e=t[0].trace;return o.traceIs(e</t>
  </si>
  <si>
    <t>pie-like"")?-1!==B.indexOf(t[0].label)?.5:1:""legendonly""===e.visible?.5:1})).each((function(){n.select(this).call(M</t>
  </si>
  <si>
    <t>f)})).call(x</t>
  </si>
  <si>
    <t>f).each((function(){T||n.select(this).call(E</t>
  </si>
  <si>
    <t>w)}))</t>
  </si>
  <si>
    <t>i.syncOrAsync([a.previousPromises</t>
  </si>
  <si>
    <t>function(){return function(t</t>
  </si>
  <si>
    <t>i){var a=t._fullLayout</t>
  </si>
  <si>
    <t>o=P(i);i||(i=a[o]);var s=a._size</t>
  </si>
  <si>
    <t>l=_.isVertical(i)</t>
  </si>
  <si>
    <t>u=_.isGrouped(i)</t>
  </si>
  <si>
    <t>h=""fraction""===i.entrywidthmode</t>
  </si>
  <si>
    <t>f=i.borderwidth</t>
  </si>
  <si>
    <t>d=2*f</t>
  </si>
  <si>
    <t>m=p.itemGap</t>
  </si>
  <si>
    <t>g=i.indentation+i.itemwidth+2*m</t>
  </si>
  <si>
    <t>y=2*(f+m)</t>
  </si>
  <si>
    <t>v=I(i)</t>
  </si>
  <si>
    <t>x=i.y&lt;0||0===i.y&amp;&amp;""top""===v</t>
  </si>
  <si>
    <t>b=i.y&gt;1||1===i.y&amp;&amp;""bottom""===v</t>
  </si>
  <si>
    <t>w=i.tracegroupgap</t>
  </si>
  <si>
    <t>T={};i._maxHeight=Math.max(x||b?a.height/2:s.h</t>
  </si>
  <si>
    <t>30);var A=0;i._width=0</t>
  </si>
  <si>
    <t>i._height=0;var M=function(t){var e=0</t>
  </si>
  <si>
    <t>r=0</t>
  </si>
  <si>
    <t>n=t.title.side;return n&amp;&amp;(-1!==n.indexOf(""left"")&amp;&amp;(e=t._titleWidth)</t>
  </si>
  <si>
    <t>-1!==n.indexOf(""top"")&amp;&amp;(r=t._titleHeight))</t>
  </si>
  <si>
    <t>[e</t>
  </si>
  <si>
    <t>r]}(i);if(l)r.each((function(t){var e=t[0].height;c.setTranslate(this</t>
  </si>
  <si>
    <t>f+M[0]</t>
  </si>
  <si>
    <t>f+M[1]+i._height+e/2+m)</t>
  </si>
  <si>
    <t>i._height+=e</t>
  </si>
  <si>
    <t>i._width=Math.max(i._width</t>
  </si>
  <si>
    <t>t[0].width)}))</t>
  </si>
  <si>
    <t>A=g+i._width</t>
  </si>
  <si>
    <t>i._width+=m+g+d</t>
  </si>
  <si>
    <t>i._height+=y</t>
  </si>
  <si>
    <t>u&amp;&amp;(e.each((function(t</t>
  </si>
  <si>
    <t>e){c.setTranslate(this</t>
  </si>
  <si>
    <t>e*i.tracegroupgap)}))</t>
  </si>
  <si>
    <t>i._height+=(i._lgroupsLength-1)*i.tracegroupgap);else{var S=L(i)</t>
  </si>
  <si>
    <t>E=i.x&lt;0||0===i.x&amp;&amp;""right""===S</t>
  </si>
  <si>
    <t>C=i.x&gt;1||1===i.x&amp;&amp;""left""===S</t>
  </si>
  <si>
    <t>z=b||x</t>
  </si>
  <si>
    <t>O=a.width/2;i._maxWidth=Math.max(E?z&amp;&amp;""left""===S?s.l+s.w:O:C?z&amp;&amp;""right""===S?s.r+s.w:O:s.w</t>
  </si>
  <si>
    <t>2*g);var D=0</t>
  </si>
  <si>
    <t>R=0;r.each((function(t){var e=k(t</t>
  </si>
  <si>
    <t>g);D=Math.max(D</t>
  </si>
  <si>
    <t>R+=e}))</t>
  </si>
  <si>
    <t>A=null;var F=0;if(u){var B=0</t>
  </si>
  <si>
    <t>N=0</t>
  </si>
  <si>
    <t>j=0;e.each((function(){var t=0</t>
  </si>
  <si>
    <t>e=0;n.select(this).selectAll(""g.traces"").each((function(r){var n=k(r</t>
  </si>
  <si>
    <t>g)</t>
  </si>
  <si>
    <t>a=r[0].height;c.setTranslate(this</t>
  </si>
  <si>
    <t>M[0]</t>
  </si>
  <si>
    <t>M[1]+f+m+a/2+e)</t>
  </si>
  <si>
    <t>e+=a</t>
  </si>
  <si>
    <t>t=Math.max(t</t>
  </si>
  <si>
    <t>T[r[0].trace.legendgroup]=t}));var r=t+m;N&gt;0&amp;&amp;r+f+N&gt;i._maxWidth?(F=Math.max(F</t>
  </si>
  <si>
    <t>N)</t>
  </si>
  <si>
    <t>j+=B+w</t>
  </si>
  <si>
    <t>B=e):B=Math.max(B</t>
  </si>
  <si>
    <t>c.setTranslate(this</t>
  </si>
  <si>
    <t>N</t>
  </si>
  <si>
    <t>N+=r}))</t>
  </si>
  <si>
    <t>i._width=Math.max(F</t>
  </si>
  <si>
    <t>N)+f</t>
  </si>
  <si>
    <t>i._height=j+B+y}else{var U=r.size()</t>
  </si>
  <si>
    <t>V=R+d+(U-1)*m&lt;i._maxWidth</t>
  </si>
  <si>
    <t>q=0</t>
  </si>
  <si>
    <t>H=0</t>
  </si>
  <si>
    <t>G=0</t>
  </si>
  <si>
    <t>Z=0;r.each((function(t){var e=t[0].height</t>
  </si>
  <si>
    <t>r=k(t</t>
  </si>
  <si>
    <t>n=V?r:D;h||(n+=m)</t>
  </si>
  <si>
    <t>n+f+H-m&gt;=i._maxWidth&amp;&amp;(F=Math.max(F</t>
  </si>
  <si>
    <t>Z)</t>
  </si>
  <si>
    <t>G+=q</t>
  </si>
  <si>
    <t>i._height+=q</t>
  </si>
  <si>
    <t>q=0)</t>
  </si>
  <si>
    <t>M[0]+f+H</t>
  </si>
  <si>
    <t>M[1]+f+G+e/2+m)</t>
  </si>
  <si>
    <t>Z=H+r+m</t>
  </si>
  <si>
    <t>H+=n</t>
  </si>
  <si>
    <t>q=Math.max(q</t>
  </si>
  <si>
    <t>e)}))</t>
  </si>
  <si>
    <t>V?(i._width=H+d</t>
  </si>
  <si>
    <t>i._height=q+y):(i._width=Math.max(F</t>
  </si>
  <si>
    <t>Z)+d</t>
  </si>
  <si>
    <t>i._height+=q+y)}}i._width=Math.ceil(Math.max(i._width+M[0]</t>
  </si>
  <si>
    <t>i._titleWidth+2*(f+p.titlePad)))</t>
  </si>
  <si>
    <t>i._height=Math.ceil(Math.max(i._height+M[1]</t>
  </si>
  <si>
    <t>i._titleHeight+2*(f+p.itemGap)))</t>
  </si>
  <si>
    <t>i._effHeight=Math.min(i._height</t>
  </si>
  <si>
    <t>i._maxHeight);var W=t._context.edits</t>
  </si>
  <si>
    <t>Y=W.legendText||W.legendPosition;r.each((function(t){var e=n.select(this).select("".""+o+""toggle"")</t>
  </si>
  <si>
    <t>r=t[0].height</t>
  </si>
  <si>
    <t>a=t[0].trace.legendgroup</t>
  </si>
  <si>
    <t>s=k(t</t>
  </si>
  <si>
    <t>g);u&amp;&amp;""""!==a&amp;&amp;(s=T[a]);var f=Y?g:A||s;l||h||(f+=m/2)</t>
  </si>
  <si>
    <t>c.setRect(e</t>
  </si>
  <si>
    <t>-r/2</t>
  </si>
  <si>
    <t>r)}))}(t</t>
  </si>
  <si>
    <t>Z</t>
  </si>
  <si>
    <t>f)}</t>
  </si>
  <si>
    <t>function(){var e</t>
  </si>
  <si>
    <t>_=d._size</t>
  </si>
  <si>
    <t>b=f.borderwidth</t>
  </si>
  <si>
    <t>k=""paper""===f.xref</t>
  </si>
  <si>
    <t>M=""paper""===f.yref;if(H.text&amp;&amp;function(t</t>
  </si>
  <si>
    <t>r){if(""top center""===e.title.side||""top right""===e.title.side){var n=e.title.font.size*m</t>
  </si>
  <si>
    <t>i=0</t>
  </si>
  <si>
    <t>a=t.node()</t>
  </si>
  <si>
    <t>o=c.bBox(a).width;""top center""===e.title.side?i=.5*(e._width-2*r-2*p.titlePad-o):""top right""===e.title.side&amp;&amp;(i=e._width-2*r-2*p.titlePad-o)</t>
  </si>
  <si>
    <t>h.positionText(t</t>
  </si>
  <si>
    <t>r+p.titlePad+i</t>
  </si>
  <si>
    <t>r+n)}}(V</t>
  </si>
  <si>
    <t>!T){var S</t>
  </si>
  <si>
    <t>E;S=k?_.l+_.w*f.x-g[L(f)]*f._width:d.width*f.x-g[L(f)]*f._width</t>
  </si>
  <si>
    <t>E=M?_.t+_.h*(1-f.y)-g[I(f)]*f._effHeight:d.height*(1-f.y)-g[I(f)]*f._effHeight;var C=function(t</t>
  </si>
  <si>
    <t>n){var i=t._fullLayout</t>
  </si>
  <si>
    <t>o=i[e]</t>
  </si>
  <si>
    <t>s=L(o)</t>
  </si>
  <si>
    <t>l=I(o)</t>
  </si>
  <si>
    <t>c=""paper""===o.xref</t>
  </si>
  <si>
    <t>u=""paper""===o.yref;t._fullLayout._reservedMargin[e]={};var h=o.y&lt;.5?""b"":""t""</t>
  </si>
  <si>
    <t>f=o.x&lt;.5?""l"":""r""</t>
  </si>
  <si>
    <t>p={r:i.width-r</t>
  </si>
  <si>
    <t>l:r+o._width</t>
  </si>
  <si>
    <t>b:i.height-n</t>
  </si>
  <si>
    <t>t:n+o._effHeight};if(c&amp;&amp;u)return a.autoMargin(t</t>
  </si>
  <si>
    <t>{x:o.x</t>
  </si>
  <si>
    <t>y:o.y</t>
  </si>
  <si>
    <t>l:o._width*g[s]</t>
  </si>
  <si>
    <t>r:o._width*y[s]</t>
  </si>
  <si>
    <t>b:o._effHeight*y[l]</t>
  </si>
  <si>
    <t>t:o._effHeight*g[l]});c?t._fullLayout._reservedMargin[e][h]=p[h]:u||""v""===o.orientation?t._fullLayout._reservedMargin[e][f]=p[f]:t._fullLayout._reservedMargin[e][h]=p[h]}(t</t>
  </si>
  <si>
    <t>S</t>
  </si>
  <si>
    <t>E);if(C)return;if(d.margin.autoexpand){var P=S</t>
  </si>
  <si>
    <t>z=E;S=k?i.constrain(S</t>
  </si>
  <si>
    <t>d.width-f._width):P</t>
  </si>
  <si>
    <t>E=M?i.constrain(E</t>
  </si>
  <si>
    <t>d.height-f._effHeight):z</t>
  </si>
  <si>
    <t>S!==P&amp;&amp;i.log(""Constrain ""+w+"".x to make legend fit inside graph"")</t>
  </si>
  <si>
    <t>E!==z&amp;&amp;i.log(""Constrain ""+w+"".y to make legend fit inside graph"")}c.setTranslate(N</t>
  </si>
  <si>
    <t>E)}if(G.on("".drag""</t>
  </si>
  <si>
    <t>N.on(""wheel""</t>
  </si>
  <si>
    <t>T||f._height&lt;=f._maxHeight||t._context.staticPlot){var O=f._effHeight;T&amp;&amp;(O=f._height)</t>
  </si>
  <si>
    <t>U.attr({width:f._width-b</t>
  </si>
  <si>
    <t>height:O-b</t>
  </si>
  <si>
    <t>x:b/2</t>
  </si>
  <si>
    <t>y:b/2})</t>
  </si>
  <si>
    <t>c.setTranslate(q</t>
  </si>
  <si>
    <t>0)</t>
  </si>
  <si>
    <t>j.select(""rect"").attr({width:f._width-2*b</t>
  </si>
  <si>
    <t>height:O-2*b</t>
  </si>
  <si>
    <t>x:b</t>
  </si>
  <si>
    <t>y:b})</t>
  </si>
  <si>
    <t>c.setClipUrl(q</t>
  </si>
  <si>
    <t>c.setRect(G</t>
  </si>
  <si>
    <t>delete f._scrollY}else{var D</t>
  </si>
  <si>
    <t>R</t>
  </si>
  <si>
    <t>F</t>
  </si>
  <si>
    <t>B=Math.max(p.scrollBarMinHeight</t>
  </si>
  <si>
    <t>f._effHeight*f._effHeight/f._height)</t>
  </si>
  <si>
    <t>Z=f._effHeight-B-2*p.scrollBarMargin</t>
  </si>
  <si>
    <t>W=f._height-f._effHeight</t>
  </si>
  <si>
    <t>Y=Z/W</t>
  </si>
  <si>
    <t>X=Math.min(f._scrollY||0</t>
  </si>
  <si>
    <t>W);U.attr({width:f._width-2*b+p.scrollBarWidth+p.scrollBarMargin</t>
  </si>
  <si>
    <t>height:f._effHeight-b</t>
  </si>
  <si>
    <t>j.select(""rect"").attr({width:f._width-2*b+p.scrollBarWidth+p.scrollBarMargin</t>
  </si>
  <si>
    <t>height:f._effHeight-2*b</t>
  </si>
  <si>
    <t>y:b+X})</t>
  </si>
  <si>
    <t>K(X</t>
  </si>
  <si>
    <t>Y)</t>
  </si>
  <si>
    <t>(function(){K(X=i.constrain(f._scrollY+n.event.deltaY/Z*W</t>
  </si>
  <si>
    <t>W)</t>
  </si>
  <si>
    <t>0!==X&amp;&amp;X!==W&amp;&amp;n.event.preventDefault()}));var $=n.behavior.drag().on(""dragstart""</t>
  </si>
  <si>
    <t>(function(){var t=n.event.sourceEvent;D=""touchstart""===t.type?t.changedTouches[0].clientY:t.clientY</t>
  </si>
  <si>
    <t>F=X})).on(""drag""</t>
  </si>
  <si>
    <t>(function(){var t=n.event.sourceEvent;2===t.buttons||t.ctrlKey||(R=""touchmove""===t.type?t.changedTouches[0].clientY:t.clientY</t>
  </si>
  <si>
    <t>X=function(t</t>
  </si>
  <si>
    <t>r){var n=(r-e)/Y+t;return i.constrain(n</t>
  </si>
  <si>
    <t>W)}(F</t>
  </si>
  <si>
    <t>Y))}));G.call($);var J=n.behavior.drag().on(""dragstart""</t>
  </si>
  <si>
    <t>(function(){var t=n.event.sourceEvent;""touchstart""===t.type&amp;&amp;(D=t.changedTouches[0].clientY</t>
  </si>
  <si>
    <t>F=X)})).on(""drag""</t>
  </si>
  <si>
    <t>(function(){var t=n.event.sourceEvent;""touchmove""===t.type&amp;&amp;(R=t.changedTouches[0].clientY</t>
  </si>
  <si>
    <t>r){var n=(e-r)/Y+t;return i.constrain(n</t>
  </si>
  <si>
    <t>Y))}));q.call(J)}function K(e</t>
  </si>
  <si>
    <t>n){f._scrollY=t._fullLayout[w]._scrollY=e</t>
  </si>
  <si>
    <t>-e)</t>
  </si>
  <si>
    <t>f._width</t>
  </si>
  <si>
    <t>p.scrollBarMargin+e*n</t>
  </si>
  <si>
    <t>p.scrollBarWidth</t>
  </si>
  <si>
    <t>j.select(""rect"").attr(""y""</t>
  </si>
  <si>
    <t>b+e)}t._context.edits.legendPosition&amp;&amp;(N.classed(""cursor-move""</t>
  </si>
  <si>
    <t>l.init({element:N.node()</t>
  </si>
  <si>
    <t>gd:t</t>
  </si>
  <si>
    <t>prepFn:function(t){if(t.target!==G.node()){var e=c.getTranslate(N);v=e.x</t>
  </si>
  <si>
    <t>x=e.y}}</t>
  </si>
  <si>
    <t>moveFn:function(t</t>
  </si>
  <si>
    <t>r){if(void 0!==v&amp;&amp;void 0!==x){var n=v+t</t>
  </si>
  <si>
    <t>i=x+r;c.setTranslate(N</t>
  </si>
  <si>
    <t>e=l.align(n</t>
  </si>
  <si>
    <t>_.l</t>
  </si>
  <si>
    <t>_.l+_.w</t>
  </si>
  <si>
    <t>f.xanchor)</t>
  </si>
  <si>
    <t>u=l.align(i+f._height</t>
  </si>
  <si>
    <t>_.t+_.h</t>
  </si>
  <si>
    <t>_.t</t>
  </si>
  <si>
    <t>f.yanchor)}}</t>
  </si>
  <si>
    <t>doneFn:function(){if(void 0!==e&amp;&amp;void 0!==u){var r={};r[w+"".x""]=e</t>
  </si>
  <si>
    <t>r[w+"".y""]=u</t>
  </si>
  <si>
    <t>o.call(""_guiRelayout""</t>
  </si>
  <si>
    <t>clickFn:function(e</t>
  </si>
  <si>
    <t>r){var n=s.selectAll(""g.traces"").filter((function(){var t=this.getBoundingClientRect();return r.clientX&gt;=t.left&amp;&amp;r.clientX&lt;=t.right&amp;&amp;r.clientY&gt;=t.top&amp;&amp;r.clientY&lt;=t.bottom}));n.size()&gt;0&amp;&amp;A(t</t>
  </si>
  <si>
    <t>r)}}))}]</t>
  </si>
  <si>
    <t>t)}}function k(t</t>
  </si>
  <si>
    <t>r){var n=t[0]</t>
  </si>
  <si>
    <t>i=n.width</t>
  </si>
  <si>
    <t>a=e.entrywidthmode</t>
  </si>
  <si>
    <t>o=n.trace.legendwidth||e.entrywidth;return""fraction""===a?e._maxWidth*o:r+(o||i)}function A(t</t>
  </si>
  <si>
    <t>i){var a=r.data()[0][0].trace</t>
  </si>
  <si>
    <t>l={event:i</t>
  </si>
  <si>
    <t>node:r.node()</t>
  </si>
  <si>
    <t>curveNumber:a.index</t>
  </si>
  <si>
    <t>expandedIndex:a._expandedIndex</t>
  </si>
  <si>
    <t>data:t.data</t>
  </si>
  <si>
    <t>layout:t.layout</t>
  </si>
  <si>
    <t>frames:t._transitionData._frames</t>
  </si>
  <si>
    <t>config:t._context</t>
  </si>
  <si>
    <t>fullData:t._fullData</t>
  </si>
  <si>
    <t>fullLayout:t._fullLayout};a._group&amp;&amp;(l.group=a._group)</t>
  </si>
  <si>
    <t>o.traceIs(a</t>
  </si>
  <si>
    <t>pie-like"")&amp;&amp;(l.label=r.datum()[0].label);var c=s.triggerHandler(t</t>
  </si>
  <si>
    <t>plotly_legendclick""</t>
  </si>
  <si>
    <t>l);if(1===n){if(!1===c)return;e._clickTimeout=setTimeout((function(){t._fullLayout&amp;&amp;f(r</t>
  </si>
  <si>
    <t>n)})</t>
  </si>
  <si>
    <t>t._context.doubleClickDelay)}else 2===n&amp;&amp;(e._clickTimeout&amp;&amp;clearTimeout(e._clickTimeout)</t>
  </si>
  <si>
    <t>t._legendMouseDownTime=0</t>
  </si>
  <si>
    <t>!1!==s.triggerHandler(t</t>
  </si>
  <si>
    <t>plotly_legenddoubleclick""</t>
  </si>
  <si>
    <t>l)&amp;&amp;!1!==c&amp;&amp;f(r</t>
  </si>
  <si>
    <t>n))}function M(t</t>
  </si>
  <si>
    <t>s=P(r)</t>
  </si>
  <si>
    <t>l=t.data()[0][0]</t>
  </si>
  <si>
    <t>u=l.trace</t>
  </si>
  <si>
    <t>f=o.traceIs(u</t>
  </si>
  <si>
    <t>pie-like"")</t>
  </si>
  <si>
    <t>d=!r._inHover&amp;&amp;e._context.edits.legendText&amp;&amp;!f</t>
  </si>
  <si>
    <t>m=r._maxNameLength;l.groupTitle?(n=l.groupTitle.text</t>
  </si>
  <si>
    <t>a=l.groupTitle.font):(a=r.font</t>
  </si>
  <si>
    <t>r.entries?n=l.text:(n=f?l.label:u.name</t>
  </si>
  <si>
    <t>u._meta&amp;&amp;(n=i.templateString(n</t>
  </si>
  <si>
    <t>u._meta))));var g=i.ensureSingle(t</t>
  </si>
  <si>
    <t>s+""text"");g.attr(""text-anchor""</t>
  </si>
  <si>
    <t>a).text(d?S(n</t>
  </si>
  <si>
    <t>m):n);var y=r.indentation+r.itemwidth+2*p.itemGap;h.positionText(g</t>
  </si>
  <si>
    <t>d?g.call(h.makeEditable</t>
  </si>
  <si>
    <t>{gd:e</t>
  </si>
  <si>
    <t>text:n}).call(C</t>
  </si>
  <si>
    <t>r).on(""edit""</t>
  </si>
  <si>
    <t>(function(n){this.text(S(n</t>
  </si>
  <si>
    <t>m)).call(C</t>
  </si>
  <si>
    <t>r);var a=l.trace._fullInput||{}</t>
  </si>
  <si>
    <t>s={};if(o.hasTransform(a</t>
  </si>
  <si>
    <t>groupby"")){var c=o.getTransformIndices(a</t>
  </si>
  <si>
    <t>groupby"")</t>
  </si>
  <si>
    <t>h=c[c.length-1]</t>
  </si>
  <si>
    <t>f=i.keyedContainer(a</t>
  </si>
  <si>
    <t>transforms[""+h+""].styles""</t>
  </si>
  <si>
    <t>target""</t>
  </si>
  <si>
    <t>value.name"");f.set(l.trace._group</t>
  </si>
  <si>
    <t>s=f.constructUpdate()}else s.name=n;return a._isShape?o.call(""_guiRelayout""</t>
  </si>
  <si>
    <t>shapes[""+u.index+""].name""</t>
  </si>
  <si>
    <t>s.name):o.call(""_guiRestyle""</t>
  </si>
  <si>
    <t>u.index)})):C(g</t>
  </si>
  <si>
    <t>r)}function S(t</t>
  </si>
  <si>
    <t>e){var r=Math.max(4</t>
  </si>
  <si>
    <t>e);if(t&amp;&amp;t.trim().length&gt;=r/2)return t;for(var n=r-(t=t||"""").length;n&gt;0;n--)t+="" "";return t}function E(t</t>
  </si>
  <si>
    <t>o=e._context.doubleClickDelay</t>
  </si>
  <si>
    <t>s=1</t>
  </si>
  <si>
    <t>l=i.ensureSingle(t</t>
  </si>
  <si>
    <t>r+""toggle""</t>
  </si>
  <si>
    <t>(function(t){e._context.staticPlot||t.style(""cursor""</t>
  </si>
  <si>
    <t>pointer"").attr(""pointer-events""</t>
  </si>
  <si>
    <t>all"")</t>
  </si>
  <si>
    <t>t.call(u.fill</t>
  </si>
  <si>
    <t>rgba(0</t>
  </si>
  <si>
    <t>0)"")}));e._context.staticPlot||(l.on(""mousedown""</t>
  </si>
  <si>
    <t>(function(){(a=(new Date).getTime())-e._legendMouseDownTime&lt;o?s+=1:(s=1</t>
  </si>
  <si>
    <t>e._legendMouseDownTime=a)}))</t>
  </si>
  <si>
    <t>l.on(""mouseup""</t>
  </si>
  <si>
    <t>(function(){if(!e._dragged&amp;&amp;!e._editing){var i=e._fullLayout[r];(new Date).getTime()-e._legendMouseDownTime&gt;o&amp;&amp;(s=Math.max(s-1</t>
  </si>
  <si>
    <t>A(e</t>
  </si>
  <si>
    <t>n.event)}})))}function C(t</t>
  </si>
  <si>
    <t>i){n._inHover&amp;&amp;t.attr(""data-notex""</t>
  </si>
  <si>
    <t>h.convertToTspans(t</t>
  </si>
  <si>
    <t>n){var i=t.data()[0][0];if(r._inHover||!i||i.trace.showlegend){var a=t.select(""g[class*=math-group]"")</t>
  </si>
  <si>
    <t>o=a.node()</t>
  </si>
  <si>
    <t>s=P(r);r||(r=e._fullLayout[s]);var l</t>
  </si>
  <si>
    <t>f=r.borderwidth</t>
  </si>
  <si>
    <t>d=(n===b?r.title.font:i.groupTitle?i.groupTitle.font:r.font).size*m;if(o){var g=c.bBox(o);l=g.height</t>
  </si>
  <si>
    <t>u=g.width</t>
  </si>
  <si>
    <t>n===b?c.setTranslate(a</t>
  </si>
  <si>
    <t>f+.75*l):c.setTranslate(a</t>
  </si>
  <si>
    <t>.25*l)}else{var y="".""+s+(n===b?""title"":"""")+""text""</t>
  </si>
  <si>
    <t>v=t.select(y)</t>
  </si>
  <si>
    <t>x=h.lineCount(v)</t>
  </si>
  <si>
    <t>_=v.node();if(l=d*x</t>
  </si>
  <si>
    <t>u=_?c.bBox(_).width:0</t>
  </si>
  <si>
    <t>n===b)""left""===r.title.side&amp;&amp;(u+=2*p.itemGap)</t>
  </si>
  <si>
    <t>h.positionText(v</t>
  </si>
  <si>
    <t>f+p.titlePad</t>
  </si>
  <si>
    <t>f+d);else{var w=2*p.itemGap+r.indentation+r.itemwidth;i.groupTitle&amp;&amp;(w=p.itemGap</t>
  </si>
  <si>
    <t>u-=r.indentation+r.itemwidth)</t>
  </si>
  <si>
    <t>-d*((x-1)/2-.3))}}n===b?(r._titleWidth=u</t>
  </si>
  <si>
    <t>r._titleHeight=l):(i.lineHeight=d</t>
  </si>
  <si>
    <t>i.height=Math.max(l</t>
  </si>
  <si>
    <t>16)+3</t>
  </si>
  <si>
    <t>i.width=u)}else t.remove()}(e</t>
  </si>
  <si>
    <t>i)}))}function L(t){return i.isRightAnchor(t)?""right"":i.isCenterAnchor(t)?""center"":""left""}function I(t){return i.isBottomAnchor(t)?""bottom"":i.isMiddleAnchor(t)?""middle"":""top""}function P(t){return t._id||""legend""}t.exports=function(t</t>
  </si>
  <si>
    <t>e){if(e)T(t</t>
  </si>
  <si>
    <t>e);else{var r=t._fullLayout</t>
  </si>
  <si>
    <t>i=r._legends;r._infolayer.selectAll('[class^=""legend""]').each((function(){var t=n.select(this)</t>
  </si>
  <si>
    <t>e=t.attr(""class"").split("" "")[0];e.match(w)&amp;&amp;-1===i.indexOf(e)&amp;&amp;t.remove()}));for(var a=0;a&lt;i.length;a++){var o=i[a];T(t</t>
  </si>
  <si>
    <t>t._fullLayout[o])}}}}</t>
  </si>
  <si>
    <t>851:function(t</t>
  </si>
  <si>
    <t>i=r(57599);t.exports=function(t</t>
  </si>
  <si>
    <t>s=e._inHover</t>
  </si>
  <si>
    <t>l=i.isGrouped(e)</t>
  </si>
  <si>
    <t>c=i.isReversed(e)</t>
  </si>
  <si>
    <t>h=[]</t>
  </si>
  <si>
    <t>f=!1</t>
  </si>
  <si>
    <t>p={}</t>
  </si>
  <si>
    <t>d=0</t>
  </si>
  <si>
    <t>m=0;function g(t</t>
  </si>
  <si>
    <t>a){if(!1!==e.visible&amp;&amp;(!r||t===e._id))if(""""!==n&amp;&amp;i.isGrouped(e))-1===h.indexOf(n)?(h.push(n)</t>
  </si>
  <si>
    <t>f=!0</t>
  </si>
  <si>
    <t>u[n]=[a]):u[n].push(a);else{var o=""~~i""+d;h.push(o)</t>
  </si>
  <si>
    <t>u[o]=[a]</t>
  </si>
  <si>
    <t>d++}}for(a=0;a&lt;t.length;a++){var y=t[a]</t>
  </si>
  <si>
    <t>v=y[0]</t>
  </si>
  <si>
    <t>x=v.trace</t>
  </si>
  <si>
    <t>_=x.legend</t>
  </si>
  <si>
    <t>b=x.legendgroup;if(s||x.visible&amp;&amp;x.showlegend)if(n.traceIs(x</t>
  </si>
  <si>
    <t>pie-like""))for(p[b]||(p[b]={})</t>
  </si>
  <si>
    <t>o=0;o&lt;y.length;o++){var w=y[o].label;p[b][w]||(g(_</t>
  </si>
  <si>
    <t>{label:w</t>
  </si>
  <si>
    <t>color:y[o].color</t>
  </si>
  <si>
    <t>i:y[o].i</t>
  </si>
  <si>
    <t>trace:x</t>
  </si>
  <si>
    <t>pts:y[o].pts})</t>
  </si>
  <si>
    <t>p[b][w]=!0</t>
  </si>
  <si>
    <t>m=Math.max(m</t>
  </si>
  <si>
    <t>(w||"""").length))}else g(_</t>
  </si>
  <si>
    <t>(x.name||"""").length)}if(!h.length)return[];var T=!f||!l</t>
  </si>
  <si>
    <t>k=[];for(a=0;a&lt;h.length;a++){var A=u[h[a]];T?k.push(A[0]):k.push(A)}for(T&amp;&amp;(k=[k])</t>
  </si>
  <si>
    <t>a=0;a&lt;k.length;a++){var M=1/0;for(o=0;o&lt;k[a].length;o++){var S=k[a][o].trace.legendrank;M&gt;S&amp;&amp;(M=S)}k[a][0]._groupMinRank=M</t>
  </si>
  <si>
    <t>k[a][0]._preGroupSort=a}var E=function(t</t>
  </si>
  <si>
    <t>e){return t.trace.legendrank-e.trace.legendrank||t._preSort-e._preSort};for(k.forEach((function(t</t>
  </si>
  <si>
    <t>e){t[0]._preGroupSort=e}))</t>
  </si>
  <si>
    <t>k.sort((function(t</t>
  </si>
  <si>
    <t>e){return t[0]._groupMinRank-e[0]._groupMinRank||t[0]._preGroupSort-e[0]._preGroupSort}))</t>
  </si>
  <si>
    <t>a=0;a&lt;k.length;a++){k[a].forEach((function(t</t>
  </si>
  <si>
    <t>e){t._preSort=e}))</t>
  </si>
  <si>
    <t>k[a].sort(E);var C=k[a][0].trace</t>
  </si>
  <si>
    <t>L=null;for(o=0;o&lt;k[a].length;o++){var I=k[a][o].trace.legendgrouptitle;if(I&amp;&amp;I.text){L=I</t>
  </si>
  <si>
    <t>s&amp;&amp;(I.font=e._groupTitleFont);break}}if(c&amp;&amp;k[a].reverse()</t>
  </si>
  <si>
    <t>L){var P=!1;for(o=0;o&lt;k[a].length;o++)if(n.traceIs(k[a][o].trace</t>
  </si>
  <si>
    <t>pie-like"")){P=!0;break}k[a].unshift({i:-1</t>
  </si>
  <si>
    <t>groupTitle:L</t>
  </si>
  <si>
    <t>noClick:P</t>
  </si>
  <si>
    <t>trace:{showlegend:C.showlegend</t>
  </si>
  <si>
    <t>legendgroup:C.legendgroup</t>
  </si>
  <si>
    <t>visible:""toggleitem""===e.groupclick||C.visible}})}for(o=0;o&lt;k[a].length;o++)k[a][o]=[k[a][o]]}return e._lgroupsLength=k.length</t>
  </si>
  <si>
    <t>e._maxNameLength=m</t>
  </si>
  <si>
    <t>k}}</t>
  </si>
  <si>
    <t>22165:function(t</t>
  </si>
  <si>
    <t>a=i.pushUnique</t>
  </si>
  <si>
    <t>o=!0;t.exports=function(t</t>
  </si>
  <si>
    <t>r){var s=e._fullLayout;if(!e._dragged&amp;&amp;!e._editing){var l</t>
  </si>
  <si>
    <t>c=s.legend.itemclick</t>
  </si>
  <si>
    <t>u=s.legend.itemdoubleclick</t>
  </si>
  <si>
    <t>h=s.legend.groupclick;if(1===r&amp;&amp;""toggle""===c&amp;&amp;""toggleothers""===u&amp;&amp;o&amp;&amp;e.data&amp;&amp;e._context.showTips?(i.notifier(i._(e</t>
  </si>
  <si>
    <t>Double-click on legend to isolate one trace"")</t>
  </si>
  <si>
    <t>long"")</t>
  </si>
  <si>
    <t>o=!1):o=!1</t>
  </si>
  <si>
    <t>1===r?l=c:2===r&amp;&amp;(l=u)</t>
  </si>
  <si>
    <t>l){var f=""togglegroup""===h</t>
  </si>
  <si>
    <t>p=s.hiddenlabels?s.hiddenlabels.slice():[]</t>
  </si>
  <si>
    <t>d=t.data()[0][0];if(!d.groupTitle||!d.noClick){var m=e._fullData</t>
  </si>
  <si>
    <t>g=(s.shapes||[]).filter((function(t){return t.showlegend}))</t>
  </si>
  <si>
    <t>y=m.concat(g)</t>
  </si>
  <si>
    <t>v=d.trace;v._isShape&amp;&amp;(v=v._fullInput);var x</t>
  </si>
  <si>
    <t>k=v.legendgroup</t>
  </si>
  <si>
    <t>A={}</t>
  </si>
  <si>
    <t>M=[]</t>
  </si>
  <si>
    <t>S=[]</t>
  </si>
  <si>
    <t>E=[]</t>
  </si>
  <si>
    <t>C=(s.shapes||[]).map((function(t){return t._input}))</t>
  </si>
  <si>
    <t>L=!1</t>
  </si>
  <si>
    <t>I=v.legend</t>
  </si>
  <si>
    <t>P=v._fullInput;if(P&amp;&amp;P._isShape||!n.traceIs(v</t>
  </si>
  <si>
    <t>pie-like"")){var z</t>
  </si>
  <si>
    <t>O=k&amp;&amp;k.length</t>
  </si>
  <si>
    <t>D=[];if(O)for(x=0;x&lt;y.length;x++)(z=y[x]).visible&amp;&amp;z.legendgroup===k&amp;&amp;D.push(x);if(""toggle""===l){var R;switch(v.visible){case!0:R=""legendonly"";break;case!1:R=!1;break;case""legendonly"":R=!0}if(O)if(f)for(x=0;x&lt;y.length;x++){var F=y[x];!1!==F.visible&amp;&amp;F.legendgroup===k&amp;&amp;tt(F</t>
  </si>
  <si>
    <t>R)}else tt(v</t>
  </si>
  <si>
    <t>R);else tt(v</t>
  </si>
  <si>
    <t>R)}else if(""toggleothers""===l){var B</t>
  </si>
  <si>
    <t>U</t>
  </si>
  <si>
    <t>V=!0;for(x=0;x&lt;y.length;x++)if(B=(U=y[x])===v</t>
  </si>
  <si>
    <t>N=!0!==U.showlegend</t>
  </si>
  <si>
    <t>!(B||N||O&amp;&amp;U.legendgroup===k||U.legend!==I||!0!==U.visible||n.traceIs(U</t>
  </si>
  <si>
    <t>notLegendIsolatable""))){V=!1;break}for(x=0;x&lt;y.length;x++)if(!1!==(U=y[x]).visible&amp;&amp;U.legend===I&amp;&amp;!n.traceIs(U</t>
  </si>
  <si>
    <t>notLegendIsolatable""))switch(v.visible){case""legendonly"":tt(U</t>
  </si>
  <si>
    <t>!0);break;case!0:j=!!V||""legendonly""</t>
  </si>
  <si>
    <t>B=U===v</t>
  </si>
  <si>
    <t>N=!0!==U.showlegend&amp;&amp;!U.legendgroup</t>
  </si>
  <si>
    <t>tt(U</t>
  </si>
  <si>
    <t>!!(B||O&amp;&amp;U.legendgroup===k||N)||j)}}for(x=0;x&lt;S.length;x++)if(b=S[x]){var q=b.constructUpdate()</t>
  </si>
  <si>
    <t>H=Object.keys(q);for(_=0;_&lt;H.length;_++)w=H[_]</t>
  </si>
  <si>
    <t>(A[w]=A[w]||[])[E[x]]=q[w]}for(T=Object.keys(A)</t>
  </si>
  <si>
    <t>x=0;x&lt;T.length;x++)for(w=T[x]</t>
  </si>
  <si>
    <t>_=0;_&lt;M.length;_++)A[w].hasOwnProperty(_)||(A[w][_]=void 0);L?n.call(""_guiUpdate""</t>
  </si>
  <si>
    <t>{shapes:C}</t>
  </si>
  <si>
    <t>M):n.call(""_guiRestyle""</t>
  </si>
  <si>
    <t>M)}else{var G=d.label</t>
  </si>
  <si>
    <t>Z=p.indexOf(G);if(""toggle""===l)-1===Z?p.push(G):p.splice(Z</t>
  </si>
  <si>
    <t>1);else if(""toggleothers""===l){var W=-1!==Z</t>
  </si>
  <si>
    <t>Y=[];for(x=0;x&lt;e.calcdata.length;x++){var X=e.calcdata[x];for(_=0;_&lt;X.length;_++){var $=X[_].label;I===X[0].trace.legend&amp;&amp;G!==$&amp;&amp;(-1===p.indexOf($)&amp;&amp;(W=!0)</t>
  </si>
  <si>
    <t>a(p</t>
  </si>
  <si>
    <t>$)</t>
  </si>
  <si>
    <t>Y.push($))}}if(!W)for(var J=0;J&lt;Y.length;J++){var K=p.indexOf(Y[J]);-1!==K&amp;&amp;p.splice(K</t>
  </si>
  <si>
    <t>1)}}n.call(""_guiRelayout""</t>
  </si>
  <si>
    <t>hiddenlabels""</t>
  </si>
  <si>
    <t>p)}}}}function Q(t</t>
  </si>
  <si>
    <t>e){var r=M.indexOf(t)</t>
  </si>
  <si>
    <t>n=A.visible;return n||(n=A.visible=[])</t>
  </si>
  <si>
    <t>-1===M.indexOf(t)&amp;&amp;(M.push(t)</t>
  </si>
  <si>
    <t>r=M.length-1)</t>
  </si>
  <si>
    <t>n[r]=e</t>
  </si>
  <si>
    <t>r}function tt(t</t>
  </si>
  <si>
    <t>e){if(!d.groupTitle||f){var r</t>
  </si>
  <si>
    <t>a=t._fullInput||t</t>
  </si>
  <si>
    <t>o=a._isShape</t>
  </si>
  <si>
    <t>s=a.index;if(void 0===s&amp;&amp;(s=a._index)</t>
  </si>
  <si>
    <t>n.hasTransform(a</t>
  </si>
  <si>
    <t>groupby"")){var l=S[s];if(!l){var c=n.getTransformIndices(a</t>
  </si>
  <si>
    <t>u=c[c.length-1];l=i.keyedContainer(a</t>
  </si>
  <si>
    <t>transforms[""+u+""].styles""</t>
  </si>
  <si>
    <t>value.visible"")</t>
  </si>
  <si>
    <t>S[s]=l}var h=l.get(t._group);void 0===h&amp;&amp;(h=!0)</t>
  </si>
  <si>
    <t>!1!==h&amp;&amp;l.set(t._group</t>
  </si>
  <si>
    <t>E[s]=Q(s</t>
  </si>
  <si>
    <t>!1!==a.visible)}else{var p=!1!==a.visible&amp;&amp;e;o?(r=p</t>
  </si>
  <si>
    <t>C[s].visible=r</t>
  </si>
  <si>
    <t>L=!0):Q(s</t>
  </si>
  <si>
    <t>p)}}}}}</t>
  </si>
  <si>
    <t>57599:function(t</t>
  </si>
  <si>
    <t>e){""use strict"";e.isGrouped=function(t){return-1!==(t.traceorder||"""").indexOf(""grouped"")}</t>
  </si>
  <si>
    <t>e.isVertical=function(t){return""h""!==t.orientation}</t>
  </si>
  <si>
    <t>e.isReversed=function(t){return-1!==(t.traceorder||"""").indexOf(""reversed"")}}</t>
  </si>
  <si>
    <t>82494:function(t</t>
  </si>
  <si>
    <t>name:""legend""</t>
  </si>
  <si>
    <t>layoutAttributes:r(86405)</t>
  </si>
  <si>
    <t>supplyLayoutDefaults:r(73970)</t>
  </si>
  <si>
    <t>draw:r(6134)</t>
  </si>
  <si>
    <t>style:r(14375)}}</t>
  </si>
  <si>
    <t>14375:function(t</t>
  </si>
  <si>
    <t>o=a.strTranslate</t>
  </si>
  <si>
    <t>s=r(62203)</t>
  </si>
  <si>
    <t>l=r(78766)</t>
  </si>
  <si>
    <t>c=r(65477).extractOpts</t>
  </si>
  <si>
    <t>u=r(64726)</t>
  </si>
  <si>
    <t>h=r(32891)</t>
  </si>
  <si>
    <t>f=r(37252).castOption</t>
  </si>
  <si>
    <t>p=r(72783);function d(t</t>
  </si>
  <si>
    <t>e){return(e?""radial"":""horizontal"")+(t?"""":""reversed"")}function m(t){var e=t[0].trace</t>
  </si>
  <si>
    <t>r=e.contours</t>
  </si>
  <si>
    <t>n=u.hasLines(e)</t>
  </si>
  <si>
    <t>i=u.hasMarkers(e)</t>
  </si>
  <si>
    <t>a=e.visible&amp;&amp;e.fill&amp;&amp;""none""!==e.fill</t>
  </si>
  <si>
    <t>o=!1</t>
  </si>
  <si>
    <t>s=!1;if(r){var l=r.coloring;""lines""===l?o=!0:n=""none""===l||""heatmap""===l||r.showlines</t>
  </si>
  <si>
    <t>constraint""===r.type?a=""=""!==r._operation:""fill""!==l&amp;&amp;""heatmap""!==l||(s=!0)}return{showMarker:i</t>
  </si>
  <si>
    <t>showLine:n</t>
  </si>
  <si>
    <t>showFill:a</t>
  </si>
  <si>
    <t>showGradientLine:o</t>
  </si>
  <si>
    <t>showGradientFill:s</t>
  </si>
  <si>
    <t>anyLine:n||o</t>
  </si>
  <si>
    <t>anyFill:a||s}}function g(t</t>
  </si>
  <si>
    <t>r){return t&amp;&amp;a.isArrayOrTypedArray(t)?e:t&gt;r?r:t}t.exports=function(t</t>
  </si>
  <si>
    <t>r){var y=e._fullLayout;r||(r=y.legend);var v=""constant""===r.itemsizing</t>
  </si>
  <si>
    <t>x=r.itemwidth</t>
  </si>
  <si>
    <t>_=(x+2*p.itemGap)/2</t>
  </si>
  <si>
    <t>b=o(_</t>
  </si>
  <si>
    <t>w=function(t</t>
  </si>
  <si>
    <t>n){var i;if(t+1)i=t;else{if(!(e&amp;&amp;e.width&gt;0))return 0;i=e.width}return v?n:Math.min(i</t>
  </si>
  <si>
    <t>r)};function T(t</t>
  </si>
  <si>
    <t>o){var u=t[0].trace</t>
  </si>
  <si>
    <t>h=u.marker||{}</t>
  </si>
  <si>
    <t>f=h.line||{}</t>
  </si>
  <si>
    <t>p=h.cornerradius?""M6</t>
  </si>
  <si>
    <t>3a3</t>
  </si>
  <si>
    <t>3H-3a3</t>
  </si>
  <si>
    <t>1-3-3V-3a3</t>
  </si>
  <si>
    <t>3-3H3a3</t>
  </si>
  <si>
    <t>3Z"":""M6</t>
  </si>
  <si>
    <t>6H-6V-6H6Z""</t>
  </si>
  <si>
    <t>d=o?u.visible&amp;&amp;u.type===o:i.traceIs(u</t>
  </si>
  <si>
    <t>bar"")</t>
  </si>
  <si>
    <t>m=n.select(a).select(""g.legendpoints"").selectAll(""path.legend""+o).data(d?[t]:[]);m.enter().append(""path"").classed(""legend""+o</t>
  </si>
  <si>
    <t>!0).attr(""d""</t>
  </si>
  <si>
    <t>p).attr(""transform""</t>
  </si>
  <si>
    <t>m.exit().remove()</t>
  </si>
  <si>
    <t>m.each((function(t){var i=n.select(this)</t>
  </si>
  <si>
    <t>a=t[0]</t>
  </si>
  <si>
    <t>o=w(a.mlw</t>
  </si>
  <si>
    <t>h.line</t>
  </si>
  <si>
    <t>2);i.style(""stroke-width""</t>
  </si>
  <si>
    <t>o+""px"");var p=a.mcc;if(!r._inHover&amp;&amp;""mc""in a){var d=c(h)</t>
  </si>
  <si>
    <t>m=d.mid;void 0===m&amp;&amp;(m=(d.max+d.min)/2)</t>
  </si>
  <si>
    <t>p=s.tryColorscale(h</t>
  </si>
  <si>
    <t>")(m)}var y=p||a.mc||h.color</t>
  </si>
  <si>
    <t>v=h.pattern</t>
  </si>
  <si>
    <t>x=v&amp;&amp;s.getPatternAttr(v.shape</t>
  </si>
  <si>
    <t>");if(x){var _=s.getPatternAttr(v.bgcolor</t>
  </si>
  <si>
    <t>b=s.getPatternAttr(v.fgcolor</t>
  </si>
  <si>
    <t>T=v.fgopacity</t>
  </si>
  <si>
    <t>k=g(v.size</t>
  </si>
  <si>
    <t>10)</t>
  </si>
  <si>
    <t>A=g(v.solidity</t>
  </si>
  <si>
    <t>M=""legend-""+u.uid;i.call(s.pattern</t>
  </si>
  <si>
    <t>legend""</t>
  </si>
  <si>
    <t>v.fillmode</t>
  </si>
  <si>
    <t>T)}else i.call(l.fill</t>
  </si>
  <si>
    <t>y);o&amp;&amp;l.stroke(i</t>
  </si>
  <si>
    <t>a.mlc||f.color)}))}function k(t</t>
  </si>
  <si>
    <t>o){var s=t[0]</t>
  </si>
  <si>
    <t>l=s.trace</t>
  </si>
  <si>
    <t>c=o?l.visible&amp;&amp;l.type===o:i.traceIs(l</t>
  </si>
  <si>
    <t>u=n.select(r).select(""g.legendpoints"").selectAll(""path.legend""+o).data(c?[t]:[]);if(u.enter().append(""path"").classed(""legend""+o</t>
  </si>
  <si>
    <t>M6</t>
  </si>
  <si>
    <t>6H-6V-6H6Z"").attr(""transform""</t>
  </si>
  <si>
    <t>u.exit().remove()</t>
  </si>
  <si>
    <t>u.size()){var p=l.marker||{}</t>
  </si>
  <si>
    <t>d=w(f(p.line.width</t>
  </si>
  <si>
    <t>s.pts)</t>
  </si>
  <si>
    <t>p.line</t>
  </si>
  <si>
    <t>m=""pieLike""</t>
  </si>
  <si>
    <t>g=a.minExtend(l</t>
  </si>
  <si>
    <t>{marker:{line:{width:d}}}</t>
  </si>
  <si>
    <t>y=a.minExtend(s</t>
  </si>
  <si>
    <t>{trace:g}</t>
  </si>
  <si>
    <t>m);h(u</t>
  </si>
  <si>
    <t>e)}}t.each((function(t){var e=n.select(this)</t>
  </si>
  <si>
    <t>i=a.ensureSingle(e</t>
  </si>
  <si>
    <t>layers"");i.style(""opacity""</t>
  </si>
  <si>
    <t>t[0].trace.opacity);var s=r.indentation</t>
  </si>
  <si>
    <t>l=r.valign</t>
  </si>
  <si>
    <t>c=t[0].lineHeight</t>
  </si>
  <si>
    <t>u=t[0].height;if(""middle""===l&amp;&amp;0===s||!c||!u)i.attr(""transform""</t>
  </si>
  <si>
    <t>null);else{var h={top:1</t>
  </si>
  <si>
    <t>bottom:-1}[l]*(.5*(c-u+3))||0</t>
  </si>
  <si>
    <t>f=r.indentation;i.attr(""transform""</t>
  </si>
  <si>
    <t>o(f</t>
  </si>
  <si>
    <t>h))}i.selectAll(""g.legendfill"").data([t]).enter().append(""g"").classed(""legendfill""</t>
  </si>
  <si>
    <t>i.selectAll(""g.legendlines"").data([t]).enter().append(""g"").classed(""legendlines""</t>
  </si>
  <si>
    <t>!0);var p=i.selectAll(""g.legendsymbols"").data([t]);p.enter().append(""g"").classed(""legendsymbols""</t>
  </si>
  <si>
    <t>p.selectAll(""g.legendpoints"").data([t]).enter().append(""g"").classed(""legendpoints""</t>
  </si>
  <si>
    <t>!0)})).each((function(t){var r</t>
  </si>
  <si>
    <t>i=t[0].trace</t>
  </si>
  <si>
    <t>o=[];if(i.visible)switch(i.type){case""histogram2d"":case""heatmap"":o=[[""M-15</t>
  </si>
  <si>
    <t>-2V4H15V-2Z""]]</t>
  </si>
  <si>
    <t>r=!0;break;case""choropleth"":case""choroplethmapbox"":case""choroplethmap"":o=[[""M-6</t>
  </si>
  <si>
    <t>-6V6H6V-6Z""]]</t>
  </si>
  <si>
    <t>r=!0;break;case""densitymapbox"":case""densitymap"":o=[[""M-6</t>
  </si>
  <si>
    <t>0 a6</t>
  </si>
  <si>
    <t>6 0 1</t>
  </si>
  <si>
    <t>0 12</t>
  </si>
  <si>
    <t>0 a 6</t>
  </si>
  <si>
    <t>0 -12</t>
  </si>
  <si>
    <t>0""]]</t>
  </si>
  <si>
    <t>r=""radial"";break;case""cone"":o=[[""M-6</t>
  </si>
  <si>
    <t>2 A2</t>
  </si>
  <si>
    <t>2 0 0</t>
  </si>
  <si>
    <t>0 -6</t>
  </si>
  <si>
    <t>6 V6L6</t>
  </si>
  <si>
    <t>4Z""]</t>
  </si>
  <si>
    <t>[""M-6</t>
  </si>
  <si>
    <t>-6 A2</t>
  </si>
  <si>
    <t>-2 L6</t>
  </si>
  <si>
    <t>-4Z""]</t>
  </si>
  <si>
    <t>-2 A2</t>
  </si>
  <si>
    <t>2 L6</t>
  </si>
  <si>
    <t>0Z""]]</t>
  </si>
  <si>
    <t>r=!1;break;case""streamtube"":o=[[""M-6</t>
  </si>
  <si>
    <t>6 H6 A2</t>
  </si>
  <si>
    <t>1 6</t>
  </si>
  <si>
    <t>2 Z""]</t>
  </si>
  <si>
    <t>-2 H6 A2</t>
  </si>
  <si>
    <t>-6 Z""]</t>
  </si>
  <si>
    <t>2 H6 A2</t>
  </si>
  <si>
    <t>-2 Z""]]</t>
  </si>
  <si>
    <t>r=!1;break;case""surface"":o=[[""M-6</t>
  </si>
  <si>
    <t>3 0 0</t>
  </si>
  <si>
    <t>0 H6 A2</t>
  </si>
  <si>
    <t>1 A2</t>
  </si>
  <si>
    <t>0 6</t>
  </si>
  <si>
    <t>0 Z""]]</t>
  </si>
  <si>
    <t>r=!0;break;case""mesh3d"":o=[[""M-6</t>
  </si>
  <si>
    <t>6H0L-6</t>
  </si>
  <si>
    <t>-6Z""]</t>
  </si>
  <si>
    <t>[""M6</t>
  </si>
  <si>
    <t>6H0L6</t>
  </si>
  <si>
    <t>-6H6L0</t>
  </si>
  <si>
    <t>6Z""]]</t>
  </si>
  <si>
    <t>r=!1;break;case""volume"":o=[[""M-6</t>
  </si>
  <si>
    <t>r=!0;break;case""isosurface"":o=[[""M-6</t>
  </si>
  <si>
    <t>-6 A12</t>
  </si>
  <si>
    <t>24 0 0</t>
  </si>
  <si>
    <t>-6 L0</t>
  </si>
  <si>
    <t>r=!1}var u=n.select(this).select(""g.legendpoints"").selectAll(""path.legend3dandfriends"").data(o);u.enter().append(""path"").classed(""legend3dandfriends""</t>
  </si>
  <si>
    <t>!0).attr(""transform""</t>
  </si>
  <si>
    <t>b).style(""stroke-miterlimit""</t>
  </si>
  <si>
    <t>u.each((function(t</t>
  </si>
  <si>
    <t>o){var u</t>
  </si>
  <si>
    <t>h=n.select(this)</t>
  </si>
  <si>
    <t>f=c(i)</t>
  </si>
  <si>
    <t>p=f.colorscale</t>
  </si>
  <si>
    <t>m=f.reversescale;if(p){if(!r){var g=p.length;u=0===o?p[m?g-1:0][1]:1===o?p[m?0:g-1][1]:p[Math.floor((g-1)/2)][1]}}else{var y=i.vertexcolor||i.facecolor||i.color;u=a.isArrayOrTypedArray(y)?y[o]||y[0]:y}h.attr(""d""</t>
  </si>
  <si>
    <t>t[0])</t>
  </si>
  <si>
    <t>u?h.call(l.fill</t>
  </si>
  <si>
    <t>u):h.call((function(t){if(t.size()){var n=""legendfill-""+i.uid;s.gradient(t</t>
  </si>
  <si>
    <t>d(m</t>
  </si>
  <si>
    <t>radial""===r)</t>
  </si>
  <si>
    <t>fill"")}}))}))})).each((function(t){var e=t[0].trace</t>
  </si>
  <si>
    <t>r=""waterfall""===e.type;if(t[0]._distinct&amp;&amp;r){var i=t[0].trace[t[0].dir].marker;return t[0].mc=i.color</t>
  </si>
  <si>
    <t>t[0].mlw=i.line.width</t>
  </si>
  <si>
    <t>t[0].mlc=i.line.color</t>
  </si>
  <si>
    <t>T(t</t>
  </si>
  <si>
    <t>this</t>
  </si>
  <si>
    <t>waterfall"")}var a=[];e.visible&amp;&amp;r&amp;&amp;(a=t[0].hasTotals?[[""increasing""</t>
  </si>
  <si>
    <t>M-6</t>
  </si>
  <si>
    <t>-6V6H0Z""]</t>
  </si>
  <si>
    <t>[""totals""</t>
  </si>
  <si>
    <t>-6H-0Z""]</t>
  </si>
  <si>
    <t>[""decreasing""</t>
  </si>
  <si>
    <t>6V-6H0Z""]]:[[""increasing""</t>
  </si>
  <si>
    <t>-6V6H6Z""]</t>
  </si>
  <si>
    <t>6V-6H-6Z""]]);var o=n.select(this).select(""g.legendpoints"").selectAll(""path.legendwaterfall"").data(a);o.enter().append(""path"").classed(""legendwaterfall""</t>
  </si>
  <si>
    <t>o.exit().remove()</t>
  </si>
  <si>
    <t>o.each((function(t){var r=n.select(this)</t>
  </si>
  <si>
    <t>i=e[t[0]].marker</t>
  </si>
  <si>
    <t>a=w(void 0</t>
  </si>
  <si>
    <t>i.line</t>
  </si>
  <si>
    <t>2);r.attr(""d""</t>
  </si>
  <si>
    <t>t[1]).style(""stroke-width""</t>
  </si>
  <si>
    <t>a+""px"").call(l.fill</t>
  </si>
  <si>
    <t>i.color)</t>
  </si>
  <si>
    <t>a&amp;&amp;r.call(l.stroke</t>
  </si>
  <si>
    <t>i.line.color)}))})).each((function(t){T(t</t>
  </si>
  <si>
    <t>funnel"")})).each((function(t){T(t</t>
  </si>
  <si>
    <t>this)})).each((function(t){var r=t[0].trace</t>
  </si>
  <si>
    <t>o=n.select(this).select(""g.legendpoints"").selectAll(""path.legendbox"").data(r.visible&amp;&amp;i.traceIs(r</t>
  </si>
  <si>
    <t>box-violin"")?[t]:[]);o.enter().append(""path"").classed(""legendbox""</t>
  </si>
  <si>
    <t>o.each((function(){var t=n.select(this);if(""all""!==r.boxpoints&amp;&amp;""all""!==r.points||0!==l.opacity(r.fillcolor)||0!==l.opacity((r.line||{}).color)){var i=w(void 0</t>
  </si>
  <si>
    <t>r.line</t>
  </si>
  <si>
    <t>2);t.style(""stroke-width""</t>
  </si>
  <si>
    <t>i+""px"").call(l.fill</t>
  </si>
  <si>
    <t>r.fillcolor)</t>
  </si>
  <si>
    <t>i&amp;&amp;l.stroke(t</t>
  </si>
  <si>
    <t>r.line.color)}else{var c=a.minExtend(r</t>
  </si>
  <si>
    <t>{marker:{size:v?12:a.constrain(r.marker.size</t>
  </si>
  <si>
    <t>16)</t>
  </si>
  <si>
    <t>sizeref:1</t>
  </si>
  <si>
    <t>sizemin:1</t>
  </si>
  <si>
    <t>sizemode:""diameter""}});o.call(s.pointStyle</t>
  </si>
  <si>
    <t>e)}}))})).each((function(t){k(t</t>
  </si>
  <si>
    <t>funnelarea"")})).each((function(t){k(t</t>
  </si>
  <si>
    <t>pie"")})).each((function(t){var r</t>
  </si>
  <si>
    <t>o=m(t)</t>
  </si>
  <si>
    <t>l=o.showFill</t>
  </si>
  <si>
    <t>h=o.showLine</t>
  </si>
  <si>
    <t>f=o.showGradientLine</t>
  </si>
  <si>
    <t>p=o.showGradientFill</t>
  </si>
  <si>
    <t>g=o.anyFill</t>
  </si>
  <si>
    <t>y=o.anyLine</t>
  </si>
  <si>
    <t>v=t[0]</t>
  </si>
  <si>
    <t>_=v.trace</t>
  </si>
  <si>
    <t>b=c(_)</t>
  </si>
  <si>
    <t>T=b.colorscale</t>
  </si>
  <si>
    <t>k=b.reversescale</t>
  </si>
  <si>
    <t>A=u.hasMarkers(_)||!g?""M5</t>
  </si>
  <si>
    <t>0"":y?""M5</t>
  </si>
  <si>
    <t>-2"":""M5</t>
  </si>
  <si>
    <t>-3""</t>
  </si>
  <si>
    <t>M=n.select(this)</t>
  </si>
  <si>
    <t>S=M.select("".legendfill"").selectAll(""path"").data(l||p?[t]:[]);if(S.enter().append(""path"").classed(""js-fill""</t>
  </si>
  <si>
    <t>S.exit().remove()</t>
  </si>
  <si>
    <t>S.attr(""d""</t>
  </si>
  <si>
    <t>A+""h""+x+""v6h-""+x+""z"").call((function(t){if(t.size())if(l)s.fillGroupStyle(t</t>
  </si>
  <si>
    <t>!0);else{var r=""legendfill-""+_.uid;s.gradient(t</t>
  </si>
  <si>
    <t>d(k)</t>
  </si>
  <si>
    <t>fill"")}}))</t>
  </si>
  <si>
    <t>h||f){var E=w(void 0</t>
  </si>
  <si>
    <t>_.line</t>
  </si>
  <si>
    <t>5);i=a.minExtend(_</t>
  </si>
  <si>
    <t>{line:{width:E}})</t>
  </si>
  <si>
    <t>r=[a.minExtend(v</t>
  </si>
  <si>
    <t>{trace:i})]}var C=M.select("".legendlines"").selectAll(""path"").data(h||f?[r]:[]);C.enter().append(""path"").classed(""js-line""</t>
  </si>
  <si>
    <t>C.exit().remove()</t>
  </si>
  <si>
    <t>C.attr(""d""</t>
  </si>
  <si>
    <t>A+(f?""l""+x+""</t>
  </si>
  <si>
    <t>0.0001"":""h""+x)).call(h?s.lineGroupStyle:function(t){if(t.size()){var r=""legendline-""+_.uid;s.lineGroupStyle(t)</t>
  </si>
  <si>
    <t>s.gradient(t</t>
  </si>
  <si>
    <t>stroke"")}})})).each((function(t){var r</t>
  </si>
  <si>
    <t>l=o.anyFill</t>
  </si>
  <si>
    <t>c=o.anyLine</t>
  </si>
  <si>
    <t>f=o.showMarker</t>
  </si>
  <si>
    <t>p=t[0]</t>
  </si>
  <si>
    <t>d=p.trace</t>
  </si>
  <si>
    <t>g=!f&amp;&amp;!c&amp;&amp;!l&amp;&amp;u.hasText(d);function y(t</t>
  </si>
  <si>
    <t>n){var i=a.nestedProperty(d</t>
  </si>
  <si>
    <t>t).get()</t>
  </si>
  <si>
    <t>o=a.isArrayOrTypedArray(i)&amp;&amp;e?e(i):i;if(v&amp;&amp;o&amp;&amp;void 0!==n&amp;&amp;(o=n)</t>
  </si>
  <si>
    <t>r){if(o&lt;r[0])return r[0];if(o&gt;r[1])return r[1]}return o}function x(t){return p._distinct&amp;&amp;p.index&amp;&amp;t[p.index]?t[p.index]:t[0]}if(f||g||h){var _={}</t>
  </si>
  <si>
    <t>w={};if(f){_.mc=y(""marker.color""</t>
  </si>
  <si>
    <t>x)</t>
  </si>
  <si>
    <t>_.mx=y(""marker.symbol""</t>
  </si>
  <si>
    <t>_.mo=y(""marker.opacity""</t>
  </si>
  <si>
    <t>a.mean</t>
  </si>
  <si>
    <t>1])</t>
  </si>
  <si>
    <t>_.mlc=y(""marker.line.color""</t>
  </si>
  <si>
    <t>_.mlw=y(""marker.line.width""</t>
  </si>
  <si>
    <t>[0</t>
  </si>
  <si>
    <t>5]</t>
  </si>
  <si>
    <t>w.marker={sizeref:1</t>
  </si>
  <si>
    <t>sizemode:""diameter""};var T=y(""marker.size""</t>
  </si>
  <si>
    <t>16]</t>
  </si>
  <si>
    <t>12);_.ms=T</t>
  </si>
  <si>
    <t>w.marker.size=T}h&amp;&amp;(w.line={width:y(""line.width""</t>
  </si>
  <si>
    <t>10]</t>
  </si>
  <si>
    <t>5)})</t>
  </si>
  <si>
    <t>g&amp;&amp;(_.tx=""Aa""</t>
  </si>
  <si>
    <t>_.tp=y(""textposition""</t>
  </si>
  <si>
    <t>_.ts=10</t>
  </si>
  <si>
    <t>_.tc=y(""textfont.color""</t>
  </si>
  <si>
    <t>_.tf=y(""textfont.family""</t>
  </si>
  <si>
    <t>_.tw=y(""textfont.weight""</t>
  </si>
  <si>
    <t>_.ty=y(""textfont.style""</t>
  </si>
  <si>
    <t>_.tv=y(""textfont.variant""</t>
  </si>
  <si>
    <t>_.tC=y(""textfont.textcase""</t>
  </si>
  <si>
    <t>_.tE=y(""textfont.lineposition""</t>
  </si>
  <si>
    <t>_.tS=y(""textfont.shadow""</t>
  </si>
  <si>
    <t>x))</t>
  </si>
  <si>
    <t>r=[a.minExtend(p</t>
  </si>
  <si>
    <t>_)]</t>
  </si>
  <si>
    <t>(i=a.minExtend(d</t>
  </si>
  <si>
    <t>w)).selectedpoints=null</t>
  </si>
  <si>
    <t>i.texttemplate=null}var k=n.select(this).select(""g.legendpoints"")</t>
  </si>
  <si>
    <t>A=k.selectAll(""path.scatterpts"").data(f?r:[]);A.enter().insert(""path""</t>
  </si>
  <si>
    <t>:first-child"").classed(""scatterpts""</t>
  </si>
  <si>
    <t>A.exit().remove()</t>
  </si>
  <si>
    <t>A.call(s.pointStyle</t>
  </si>
  <si>
    <t>f&amp;&amp;(r[0].mrc=3);var M=k.selectAll(""g.pointtext"").data(g?r:[]);M.enter().append(""g"").classed(""pointtext""</t>
  </si>
  <si>
    <t>!0).append(""text"").attr(""transform""</t>
  </si>
  <si>
    <t>M.exit().remove()</t>
  </si>
  <si>
    <t>M.selectAll(""text"").call(s.textPointStyle</t>
  </si>
  <si>
    <t>e)})).each((function(t){var e=t[0].trace</t>
  </si>
  <si>
    <t>r=n.select(this).select(""g.legendpoints"").selectAll(""path.legendcandle"").data(e.visible&amp;&amp;""candlestick""===e.type?[t</t>
  </si>
  <si>
    <t>t]:[]);r.enter().append(""path"").classed(""legendcandle""</t>
  </si>
  <si>
    <t>e){return e?""M-15</t>
  </si>
  <si>
    <t>0H-8M-8</t>
  </si>
  <si>
    <t>6V-6H8Z"":""M15</t>
  </si>
  <si>
    <t>0H8M8</t>
  </si>
  <si>
    <t>-6V6H-8Z""})).attr(""transform""</t>
  </si>
  <si>
    <t>r.exit().remove()</t>
  </si>
  <si>
    <t>r.each((function(t</t>
  </si>
  <si>
    <t>r){var i=n.select(this)</t>
  </si>
  <si>
    <t>a=e[r?""increasing"":""decreasing""]</t>
  </si>
  <si>
    <t>o=w(void 0</t>
  </si>
  <si>
    <t>a.line</t>
  </si>
  <si>
    <t>o+""px"").call(l.fill</t>
  </si>
  <si>
    <t>a.fillcolor)</t>
  </si>
  <si>
    <t>o&amp;&amp;l.stroke(i</t>
  </si>
  <si>
    <t>a.line.color)}))})).each((function(t){var e=t[0].trace</t>
  </si>
  <si>
    <t>r=n.select(this).select(""g.legendpoints"").selectAll(""path.legendohlc"").data(e.visible&amp;&amp;""ohlc""===e.type?[t</t>
  </si>
  <si>
    <t>t]:[]);r.enter().append(""path"").classed(""legendohlc""</t>
  </si>
  <si>
    <t>0H0M-8</t>
  </si>
  <si>
    <t>-6V0"":""M15</t>
  </si>
  <si>
    <t>0H0M8</t>
  </si>
  <si>
    <t>6V0""})).attr(""transform""</t>
  </si>
  <si>
    <t>2);i.style(""fill""</t>
  </si>
  <si>
    <t>none"").call(s.dashLine</t>
  </si>
  <si>
    <t>a.line.dash</t>
  </si>
  <si>
    <t>a.line.color)}))}))}}</t>
  </si>
  <si>
    <t>50308:function(t</t>
  </si>
  <si>
    <t>r){""use strict"";r(87632)</t>
  </si>
  <si>
    <t>t.exports={editType:""modebar""</t>
  </si>
  <si>
    <t>dflt:""h""</t>
  </si>
  <si>
    <t>activecolor:{valType:""color""</t>
  </si>
  <si>
    <t>add:{valType:""string""</t>
  </si>
  <si>
    <t>remove:{valType:""string""</t>
  </si>
  <si>
    <t>editType:""modebar""}}}</t>
  </si>
  <si>
    <t>5832:function(t</t>
  </si>
  <si>
    <t>i=r(44122)</t>
  </si>
  <si>
    <t>a=r(5975)</t>
  </si>
  <si>
    <t>o=r(35188)</t>
  </si>
  <si>
    <t>s=r(28231).eraseActiveShape</t>
  </si>
  <si>
    <t>l=r(34809)</t>
  </si>
  <si>
    <t>c=l._</t>
  </si>
  <si>
    <t>u=t.exports={};function h(t</t>
  </si>
  <si>
    <t>o=e.currentTarget</t>
  </si>
  <si>
    <t>s=o.getAttribute(""data-attr"")</t>
  </si>
  <si>
    <t>l=o.getAttribute(""data-val"")||!0</t>
  </si>
  <si>
    <t>c=t._fullLayout</t>
  </si>
  <si>
    <t>h=a.list(t</t>
  </si>
  <si>
    <t>f=c._cartesianSpikesEnabled;if(""zoom""===s){var p</t>
  </si>
  <si>
    <t>d=""in""===l?.5:2</t>
  </si>
  <si>
    <t>m=(1+d)/2</t>
  </si>
  <si>
    <t>g=(1-d)/2;for(i=0;i&lt;h.length;i++)if(!(r=h[i]).fixedrange)if(p=r._name</t>
  </si>
  <si>
    <t>auto""===l)u[p+"".autorange""]=!0;else if(""reset""===l)void 0===r._rangeInitial0&amp;&amp;void 0===r._rangeInitial1?u[p+"".autorange""]=!0:void 0===r._rangeInitial0?(u[p+"".autorange""]=r._autorangeInitial</t>
  </si>
  <si>
    <t>u[p+"".range""]=[null</t>
  </si>
  <si>
    <t>r._rangeInitial1]):void 0===r._rangeInitial1?(u[p+"".range""]=[r._rangeInitial0</t>
  </si>
  <si>
    <t>null]</t>
  </si>
  <si>
    <t>u[p+"".autorange""]=r._autorangeInitial):u[p+"".range""]=[r._rangeInitial0</t>
  </si>
  <si>
    <t>r._rangeInitial1]</t>
  </si>
  <si>
    <t>void 0!==r._showSpikeInitial&amp;&amp;(u[p+"".showspikes""]=r._showSpikeInitial</t>
  </si>
  <si>
    <t>on""!==f||r._showSpikeInitial||(f=""off""));else{var y=[r.r2l(r.range[0])</t>
  </si>
  <si>
    <t>r.r2l(r.range[1])]</t>
  </si>
  <si>
    <t>v=[m*y[0]+g*y[1]</t>
  </si>
  <si>
    <t>m*y[1]+g*y[0]];u[p+"".range[0]""]=r.l2r(v[0])</t>
  </si>
  <si>
    <t>u[p+"".range[1]""]=r.l2r(v[1])}}else""hovermode""!==s||""x""!==l&amp;&amp;""y""!==l||(l=c._isHoriz?""y"":""x""</t>
  </si>
  <si>
    <t>o.setAttribute(""data-val""</t>
  </si>
  <si>
    <t>l))</t>
  </si>
  <si>
    <t>u[s]=l;c._cartesianSpikesEnabled=f</t>
  </si>
  <si>
    <t>n.call(""_guiRelayout""</t>
  </si>
  <si>
    <t>u)}function f(t</t>
  </si>
  <si>
    <t>e){for(var r=e.currentTarget</t>
  </si>
  <si>
    <t>i=r.getAttribute(""data-attr"")</t>
  </si>
  <si>
    <t>a=r.getAttribute(""data-val"")||!0</t>
  </si>
  <si>
    <t>o=t._fullLayout._subplots.gl3d||[]</t>
  </si>
  <si>
    <t>s={}</t>
  </si>
  <si>
    <t>l=i.split(""."")</t>
  </si>
  <si>
    <t>c=0;c&lt;o.length;c++)s[o[c]+"".""+l[1]]=a;var u=""pan""===a?a:""zoom"";s.dragmode=u</t>
  </si>
  <si>
    <t>s)}function p(t</t>
  </si>
  <si>
    <t>e){for(var r=e.currentTarget.getAttribute(""data-attr"")</t>
  </si>
  <si>
    <t>i=""resetLastSave""===r</t>
  </si>
  <si>
    <t>a=""resetDefault""===r</t>
  </si>
  <si>
    <t>o=t._fullLayout</t>
  </si>
  <si>
    <t>s=o._subplots.gl3d||[]</t>
  </si>
  <si>
    <t>l={}</t>
  </si>
  <si>
    <t>c=0;c&lt;s.length;c++){var u</t>
  </si>
  <si>
    <t>h=s[c]</t>
  </si>
  <si>
    <t>f=h+"".camera""</t>
  </si>
  <si>
    <t>p=h+"".aspectratio""</t>
  </si>
  <si>
    <t>d=h+"".aspectmode""</t>
  </si>
  <si>
    <t>m=o[h]._scene;i?(l[f+"".up""]=m.viewInitial.up</t>
  </si>
  <si>
    <t>l[f+"".eye""]=m.viewInitial.eye</t>
  </si>
  <si>
    <t>l[f+"".center""]=m.viewInitial.center</t>
  </si>
  <si>
    <t>u=!0):a&amp;&amp;(l[f+"".up""]=null</t>
  </si>
  <si>
    <t>l[f+"".eye""]=null</t>
  </si>
  <si>
    <t>l[f+"".center""]=null</t>
  </si>
  <si>
    <t>u=!0)</t>
  </si>
  <si>
    <t>u&amp;&amp;(l[p+"".x""]=m.viewInitial.aspectratio.x</t>
  </si>
  <si>
    <t>l[p+"".y""]=m.viewInitial.aspectratio.y</t>
  </si>
  <si>
    <t>l[p+"".z""]=m.viewInitial.aspectratio.z</t>
  </si>
  <si>
    <t>l[d]=m.viewInitial.aspectmode)}n.call(""_guiRelayout""</t>
  </si>
  <si>
    <t>l)}function d(t</t>
  </si>
  <si>
    <t>e){var r=e.currentTarget</t>
  </si>
  <si>
    <t>n=r._previousVal</t>
  </si>
  <si>
    <t>i=t._fullLayout</t>
  </si>
  <si>
    <t>a=i._subplots.gl3d||[]</t>
  </si>
  <si>
    <t>o=[""xaxis""</t>
  </si>
  <si>
    <t>yaxis""</t>
  </si>
  <si>
    <t>zaxis""]</t>
  </si>
  <si>
    <t>l={};if(n)l=n</t>
  </si>
  <si>
    <t>r._previousVal=null;else{for(var c=0;c&lt;a.length;c++){var u=a[c]</t>
  </si>
  <si>
    <t>h=i[u]</t>
  </si>
  <si>
    <t>f=u+"".hovermode"";s[f]=h.hovermode</t>
  </si>
  <si>
    <t>l[f]=!1;for(var p=0;p&lt;3;p++){var d=o[p]</t>
  </si>
  <si>
    <t>m=u+"".""+d+"".showspikes"";l[m]=!1</t>
  </si>
  <si>
    <t>s[m]=h[d].showspikes}}r._previousVal=s}return l}function m(t</t>
  </si>
  <si>
    <t>s=o._subplots.geo||[]</t>
  </si>
  <si>
    <t>l=0;l&lt;s.length;l++){var c=s[l]</t>
  </si>
  <si>
    <t>u=o[c];if(""zoom""===i){var h=u.projection.scale</t>
  </si>
  <si>
    <t>f=""in""===a?2*h:.5*h;n.call(""_guiRelayout""</t>
  </si>
  <si>
    <t>c+"".projection.scale""</t>
  </si>
  <si>
    <t>f)}}""reset""===i&amp;&amp;b(t</t>
  </si>
  <si>
    <t>geo"")}function g(t){var e=t._fullLayout;return!e.hovermode&amp;&amp;(e._has(""cartesian"")?e._isHoriz?""y"":""x"":""closest"")}function y(t){var e=g(t);n.call(""_guiRelayout""</t>
  </si>
  <si>
    <t>hovermode""</t>
  </si>
  <si>
    <t>e)}function v(t</t>
  </si>
  <si>
    <t>e){_(t</t>
  </si>
  <si>
    <t>mapbox"")}function x(t</t>
  </si>
  <si>
    <t>map"")}function _(t</t>
  </si>
  <si>
    <t>r){for(var i=e.currentTarget.getAttribute(""data-val"")</t>
  </si>
  <si>
    <t>o=a._subplots[r]||[]</t>
  </si>
  <si>
    <t>l=0;l&lt;o.length;l++){var c=o[l]</t>
  </si>
  <si>
    <t>u=a[c].zoom</t>
  </si>
  <si>
    <t>h=""in""===i?1.05*u:u/1.05;s[c+"".zoom""]=h}n.call(""_guiRelayout""</t>
  </si>
  <si>
    <t>s)}function b(t</t>
  </si>
  <si>
    <t>e){for(var r=t._fullLayout</t>
  </si>
  <si>
    <t>i=r._subplots[e]||[]</t>
  </si>
  <si>
    <t>a={}</t>
  </si>
  <si>
    <t>o=0;o&lt;i.length;o++)for(var s=i[o]</t>
  </si>
  <si>
    <t>l=r[s]._subplot.viewInitial</t>
  </si>
  <si>
    <t>c=Object.keys(l)</t>
  </si>
  <si>
    <t>u=0;u&lt;c.length;u++){var h=c[u];a[s+"".""+h]=l[h]}n.call(""_guiRelayout""</t>
  </si>
  <si>
    <t>a)}u.toImage={name:""toImage""</t>
  </si>
  <si>
    <t>title:function(t){var e=(t._context.toImageButtonOptions||{}).format||""png"";return c(t</t>
  </si>
  <si>
    <t>png""===e?""Download plot as a png"":""Download plot"")}</t>
  </si>
  <si>
    <t>icon:o.camera</t>
  </si>
  <si>
    <t>click:function(t){var e=t._context.toImageButtonOptions</t>
  </si>
  <si>
    <t>r={format:e.format||""png""};l.notifier(c(t</t>
  </si>
  <si>
    <t>Taking snapshot - this may take a few seconds"")</t>
  </si>
  <si>
    <t>svg""!==r.format&amp;&amp;l.isIE()&amp;&amp;(l.notifier(c(t</t>
  </si>
  <si>
    <t>IE only supports svg.  Changing format to svg."")</t>
  </si>
  <si>
    <t>r.format=""svg"")</t>
  </si>
  <si>
    <t>[""filename""</t>
  </si>
  <si>
    <t>width""</t>
  </si>
  <si>
    <t>height""</t>
  </si>
  <si>
    <t>scale""].forEach((function(t){t in e&amp;&amp;(r[t]=e[t])}))</t>
  </si>
  <si>
    <t>n.call(""downloadImage""</t>
  </si>
  <si>
    <t>r).then((function(e){l.notifier(c(t</t>
  </si>
  <si>
    <t>Snapshot succeeded"")+"" - ""+e</t>
  </si>
  <si>
    <t>long"")})).catch((function(){l.notifier(c(t</t>
  </si>
  <si>
    <t>Sorry</t>
  </si>
  <si>
    <t xml:space="preserve"> there was a problem downloading your snapshot!"")</t>
  </si>
  <si>
    <t>long"")}))}}</t>
  </si>
  <si>
    <t>u.sendDataToCloud={name:""sendDataToCloud""</t>
  </si>
  <si>
    <t>title:function(t){return c(t</t>
  </si>
  <si>
    <t>Edit in Chart Studio"")}</t>
  </si>
  <si>
    <t>icon:o.disk</t>
  </si>
  <si>
    <t>click:function(t){i.sendDataToCloud(t)}}</t>
  </si>
  <si>
    <t>u.editInChartStudio={name:""editInChartStudio""</t>
  </si>
  <si>
    <t>icon:o.pencil</t>
  </si>
  <si>
    <t>u.zoom2d={name:""zoom2d""</t>
  </si>
  <si>
    <t>_cat:""zoom""</t>
  </si>
  <si>
    <t>Zoom"")}</t>
  </si>
  <si>
    <t>attr:""dragmode""</t>
  </si>
  <si>
    <t>val:""zoom""</t>
  </si>
  <si>
    <t>icon:o.zoombox</t>
  </si>
  <si>
    <t>click:h}</t>
  </si>
  <si>
    <t>u.pan2d={name:""pan2d""</t>
  </si>
  <si>
    <t>_cat:""pan""</t>
  </si>
  <si>
    <t>Pan"")}</t>
  </si>
  <si>
    <t>val:""pan""</t>
  </si>
  <si>
    <t>icon:o.pan</t>
  </si>
  <si>
    <t>u.select2d={name:""select2d""</t>
  </si>
  <si>
    <t>_cat:""select""</t>
  </si>
  <si>
    <t>Box Select"")}</t>
  </si>
  <si>
    <t>val:""select""</t>
  </si>
  <si>
    <t>icon:o.selectbox</t>
  </si>
  <si>
    <t>u.lasso2d={name:""lasso2d""</t>
  </si>
  <si>
    <t>_cat:""lasso""</t>
  </si>
  <si>
    <t>Lasso Select"")}</t>
  </si>
  <si>
    <t>val:""lasso""</t>
  </si>
  <si>
    <t>icon:o.lasso</t>
  </si>
  <si>
    <t>u.drawclosedpath={name:""drawclosedpath""</t>
  </si>
  <si>
    <t>Draw closed freeform"")}</t>
  </si>
  <si>
    <t>val:""drawclosedpath""</t>
  </si>
  <si>
    <t>icon:o.drawclosedpath</t>
  </si>
  <si>
    <t>u.drawopenpath={name:""drawopenpath""</t>
  </si>
  <si>
    <t>Draw open freeform"")}</t>
  </si>
  <si>
    <t>val:""drawopenpath""</t>
  </si>
  <si>
    <t>icon:o.drawopenpath</t>
  </si>
  <si>
    <t>u.drawline={name:""drawline""</t>
  </si>
  <si>
    <t>Draw line"")}</t>
  </si>
  <si>
    <t>val:""drawline""</t>
  </si>
  <si>
    <t>icon:o.drawline</t>
  </si>
  <si>
    <t>u.drawrect={name:""drawrect""</t>
  </si>
  <si>
    <t>Draw rectangle"")}</t>
  </si>
  <si>
    <t>val:""drawrect""</t>
  </si>
  <si>
    <t>icon:o.drawrect</t>
  </si>
  <si>
    <t>u.drawcircle={name:""drawcircle""</t>
  </si>
  <si>
    <t>Draw circle"")}</t>
  </si>
  <si>
    <t>val:""drawcircle""</t>
  </si>
  <si>
    <t>icon:o.drawcircle</t>
  </si>
  <si>
    <t>u.eraseshape={name:""eraseshape""</t>
  </si>
  <si>
    <t>Erase active shape"")}</t>
  </si>
  <si>
    <t>icon:o.eraseshape</t>
  </si>
  <si>
    <t>click:s}</t>
  </si>
  <si>
    <t>u.zoomIn2d={name:""zoomIn2d""</t>
  </si>
  <si>
    <t>_cat:""zoomin""</t>
  </si>
  <si>
    <t>Zoom in"")}</t>
  </si>
  <si>
    <t>attr:""zoom""</t>
  </si>
  <si>
    <t>val:""in""</t>
  </si>
  <si>
    <t>icon:o.zoom_plus</t>
  </si>
  <si>
    <t>u.zoomOut2d={name:""zoomOut2d""</t>
  </si>
  <si>
    <t>_cat:""zoomout""</t>
  </si>
  <si>
    <t>Zoom out"")}</t>
  </si>
  <si>
    <t>val:""out""</t>
  </si>
  <si>
    <t>icon:o.zoom_minus</t>
  </si>
  <si>
    <t>u.autoScale2d={name:""autoScale2d""</t>
  </si>
  <si>
    <t>_cat:""autoscale""</t>
  </si>
  <si>
    <t>Autoscale"")}</t>
  </si>
  <si>
    <t>val:""auto""</t>
  </si>
  <si>
    <t>icon:o.autoscale</t>
  </si>
  <si>
    <t>u.resetScale2d={name:""resetScale2d""</t>
  </si>
  <si>
    <t>_cat:""resetscale""</t>
  </si>
  <si>
    <t>Reset axes"")}</t>
  </si>
  <si>
    <t>val:""reset""</t>
  </si>
  <si>
    <t>icon:o.home</t>
  </si>
  <si>
    <t>u.hoverClosestCartesian={name:""hoverClosestCartesian""</t>
  </si>
  <si>
    <t>_cat:""hoverclosest""</t>
  </si>
  <si>
    <t>Show closest data on hover"")}</t>
  </si>
  <si>
    <t>attr:""hovermode""</t>
  </si>
  <si>
    <t>val:""closest""</t>
  </si>
  <si>
    <t>icon:o.tooltip_basic</t>
  </si>
  <si>
    <t>gravity:""ne""</t>
  </si>
  <si>
    <t>u.hoverCompareCartesian={name:""hoverCompareCartesian""</t>
  </si>
  <si>
    <t>_cat:""hoverCompare""</t>
  </si>
  <si>
    <t>Compare data on hover"")}</t>
  </si>
  <si>
    <t>val:function(t){return t._fullLayout._isHoriz?""y"":""x""}</t>
  </si>
  <si>
    <t>icon:o.tooltip_compare</t>
  </si>
  <si>
    <t>u.zoom3d={name:""zoom3d""</t>
  </si>
  <si>
    <t>attr:""scene.dragmode""</t>
  </si>
  <si>
    <t>click:f}</t>
  </si>
  <si>
    <t>u.pan3d={name:""pan3d""</t>
  </si>
  <si>
    <t>u.orbitRotation={name:""orbitRotation""</t>
  </si>
  <si>
    <t>Orbital rotation"")}</t>
  </si>
  <si>
    <t>val:""orbit""</t>
  </si>
  <si>
    <t>icon:o[""3d_rotate""]</t>
  </si>
  <si>
    <t>u.tableRotation={name:""tableRotation""</t>
  </si>
  <si>
    <t>Turntable rotation"")}</t>
  </si>
  <si>
    <t>val:""turntable""</t>
  </si>
  <si>
    <t>icon:o[""z-axis""]</t>
  </si>
  <si>
    <t>u.resetCameraDefault3d={name:""resetCameraDefault3d""</t>
  </si>
  <si>
    <t>_cat:""resetCameraDefault""</t>
  </si>
  <si>
    <t>Reset camera to default"")}</t>
  </si>
  <si>
    <t>attr:""resetDefault""</t>
  </si>
  <si>
    <t>click:p}</t>
  </si>
  <si>
    <t>u.resetCameraLastSave3d={name:""resetCameraLastSave3d""</t>
  </si>
  <si>
    <t>_cat:""resetCameraLastSave""</t>
  </si>
  <si>
    <t>Reset camera to last save"")}</t>
  </si>
  <si>
    <t>attr:""resetLastSave""</t>
  </si>
  <si>
    <t>icon:o.movie</t>
  </si>
  <si>
    <t>u.hoverClosest3d={name:""hoverClosest3d""</t>
  </si>
  <si>
    <t>Toggle show closest data on hover"")}</t>
  </si>
  <si>
    <t>val:null</t>
  </si>
  <si>
    <t>toggle:!0</t>
  </si>
  <si>
    <t>click:function(t</t>
  </si>
  <si>
    <t>e){var r=d(t</t>
  </si>
  <si>
    <t>e);n.call(""_guiRelayout""</t>
  </si>
  <si>
    <t>u.zoomInGeo={name:""zoomInGeo""</t>
  </si>
  <si>
    <t>click:m}</t>
  </si>
  <si>
    <t>u.zoomOutGeo={name:""zoomOutGeo""</t>
  </si>
  <si>
    <t>u.resetGeo={name:""resetGeo""</t>
  </si>
  <si>
    <t>_cat:""reset""</t>
  </si>
  <si>
    <t>Reset"")}</t>
  </si>
  <si>
    <t>attr:""reset""</t>
  </si>
  <si>
    <t>u.hoverClosestGeo={name:""hoverClosestGeo""</t>
  </si>
  <si>
    <t>click:y}</t>
  </si>
  <si>
    <t>u.hoverClosestGl2d={name:""hoverClosestGl2d""</t>
  </si>
  <si>
    <t>u.hoverClosestPie={name:""hoverClosestPie""</t>
  </si>
  <si>
    <t>u.resetViewSankey={name:""resetSankeyGroup""</t>
  </si>
  <si>
    <t>Reset view"")}</t>
  </si>
  <si>
    <t>click:function(t){for(var e={""node.groups"":[]</t>
  </si>
  <si>
    <t>node.x"":[]</t>
  </si>
  <si>
    <t>node.y"":[]}</t>
  </si>
  <si>
    <t>r=0;r&lt;t._fullData.length;r++){var i=t._fullData[r]._viewInitial;e[""node.groups""].push(i.node.groups.slice())</t>
  </si>
  <si>
    <t>e[""node.x""].push(i.node.x.slice())</t>
  </si>
  <si>
    <t>e[""node.y""].push(i.node.y.slice())}n.call(""restyle""</t>
  </si>
  <si>
    <t>u.toggleHover={name:""toggleHover""</t>
  </si>
  <si>
    <t>e);r.hovermode=g(t)</t>
  </si>
  <si>
    <t>u.resetViews={name:""resetViews""</t>
  </si>
  <si>
    <t>Reset views"")}</t>
  </si>
  <si>
    <t>e){var r=e.currentTarget;r.setAttribute(""data-attr""</t>
  </si>
  <si>
    <t>zoom"")</t>
  </si>
  <si>
    <t>r.setAttribute(""data-val""</t>
  </si>
  <si>
    <t>reset"")</t>
  </si>
  <si>
    <t>h(t</t>
  </si>
  <si>
    <t>r.setAttribute(""data-attr""</t>
  </si>
  <si>
    <t>resetLastSave"")</t>
  </si>
  <si>
    <t>p(t</t>
  </si>
  <si>
    <t>b(t</t>
  </si>
  <si>
    <t>geo"")</t>
  </si>
  <si>
    <t>mapbox"")</t>
  </si>
  <si>
    <t>map"")}}</t>
  </si>
  <si>
    <t>u.toggleSpikelines={name:""toggleSpikelines""</t>
  </si>
  <si>
    <t>Toggle Spike Lines"")}</t>
  </si>
  <si>
    <t>icon:o.spikeline</t>
  </si>
  <si>
    <t>attr:""_cartesianSpikesEnabled""</t>
  </si>
  <si>
    <t>val:""on""</t>
  </si>
  <si>
    <t>click:function(t){var e=t._fullLayout</t>
  </si>
  <si>
    <t>r=e._cartesianSpikesEnabled;e._cartesianSpikesEnabled=""on""===r?""off"":""on""</t>
  </si>
  <si>
    <t>function(t){for(var e=""on""===t._fullLayout._cartesianSpikesEnabled</t>
  </si>
  <si>
    <t>r=a.list(t</t>
  </si>
  <si>
    <t>n={}</t>
  </si>
  <si>
    <t>i=0;i&lt;r.length;i++){var o=r[i];n[o._name+"".showspikes""]=!!e||o._showSpikeInitial}return n}(t))}}</t>
  </si>
  <si>
    <t>u.resetViewMapbox={name:""resetViewMapbox""</t>
  </si>
  <si>
    <t>_cat:""resetView""</t>
  </si>
  <si>
    <t>click:function(t){b(t</t>
  </si>
  <si>
    <t>mapbox"")}}</t>
  </si>
  <si>
    <t>u.resetViewMap={name:""resetViewMap""</t>
  </si>
  <si>
    <t>u.zoomInMapbox={name:""zoomInMapbox""</t>
  </si>
  <si>
    <t>click:v}</t>
  </si>
  <si>
    <t>u.zoomInMap={name:""zoomInMap""</t>
  </si>
  <si>
    <t>click:x}</t>
  </si>
  <si>
    <t>u.zoomOutMapbox={name:""zoomOutMapbox""</t>
  </si>
  <si>
    <t>u.zoomOutMap={name:""zoomOutMap""</t>
  </si>
  <si>
    <t>click:x}}</t>
  </si>
  <si>
    <t>87632:function(t</t>
  </si>
  <si>
    <t>r){""use strict"";var n=r(5832)</t>
  </si>
  <si>
    <t>i=Object.keys(n)</t>
  </si>
  <si>
    <t>a=[""drawline""</t>
  </si>
  <si>
    <t>eraseshape""]</t>
  </si>
  <si>
    <t>o=[""v1hovermode""</t>
  </si>
  <si>
    <t>hoverclosest""</t>
  </si>
  <si>
    <t>hovercompare""</t>
  </si>
  <si>
    <t>togglehover""</t>
  </si>
  <si>
    <t>togglespikelines""].concat(a)</t>
  </si>
  <si>
    <t>s=[];i.forEach((function(t){!function(t){if(-1===o.indexOf(t._cat||t.name)){var e=t.name</t>
  </si>
  <si>
    <t>r=(t._cat||t.name).toLowerCase();-1===s.indexOf(e)&amp;&amp;s.push(e)</t>
  </si>
  <si>
    <t>-1===s.indexOf(r)&amp;&amp;s.push(r)}}(n[t])}))</t>
  </si>
  <si>
    <t>s.sort()</t>
  </si>
  <si>
    <t>t.exports={DRAW_MODES:a</t>
  </si>
  <si>
    <t>backButtons:o</t>
  </si>
  <si>
    <t>foreButtons:s}}</t>
  </si>
  <si>
    <t>17683:function(t</t>
  </si>
  <si>
    <t>o=r(50308);t.exports=function(t</t>
  </si>
  <si>
    <t>e){var r=t.modebar||{}</t>
  </si>
  <si>
    <t>s=a.newContainer(e</t>
  </si>
  <si>
    <t>modebar"");function l(t</t>
  </si>
  <si>
    <t>e)}l(""orientation"")</t>
  </si>
  <si>
    <t>l(""bgcolor""</t>
  </si>
  <si>
    <t>i.addOpacity(e.paper_bgcolor</t>
  </si>
  <si>
    <t>.5));var c=i.contrast(i.rgb(e.modebar.bgcolor));l(""color""</t>
  </si>
  <si>
    <t>i.addOpacity(c</t>
  </si>
  <si>
    <t>.3))</t>
  </si>
  <si>
    <t>l(""activecolor""</t>
  </si>
  <si>
    <t>.7))</t>
  </si>
  <si>
    <t>l(""uirevision""</t>
  </si>
  <si>
    <t>e.uirevision)</t>
  </si>
  <si>
    <t>l(""add"")</t>
  </si>
  <si>
    <t>l(""remove"")}}</t>
  </si>
  <si>
    <t>95433:function(t</t>
  </si>
  <si>
    <t>name:""modebar""</t>
  </si>
  <si>
    <t>layoutAttributes:r(50308)</t>
  </si>
  <si>
    <t>supplyLayoutDefaults:r(17683)</t>
  </si>
  <si>
    <t>manage:r(75442)}}</t>
  </si>
  <si>
    <t>75442:function(t</t>
  </si>
  <si>
    <t>r){""use strict"";var n=r(5975)</t>
  </si>
  <si>
    <t>i=r(64726)</t>
  </si>
  <si>
    <t>a=r(33626)</t>
  </si>
  <si>
    <t>o=r(36040).isUnifiedHover</t>
  </si>
  <si>
    <t>s=r(85393)</t>
  </si>
  <si>
    <t>l=r(5832)</t>
  </si>
  <si>
    <t>c=r(87632).DRAW_MODES</t>
  </si>
  <si>
    <t>u=r(34809).extendDeep;t.exports=function(t){var e=t._fullLayout</t>
  </si>
  <si>
    <t>r=t._context</t>
  </si>
  <si>
    <t>h=e._modeBar;if(r.displayModeBar||r.watermark){if(!Array.isArray(r.modeBarButtonsToRemove))throw new Error([""*modeBarButtonsToRemove* configuration options""</t>
  </si>
  <si>
    <t>must be an array.""].join("" ""));if(!Array.isArray(r.modeBarButtonsToAdd))throw new Error([""*modeBarButtonsToAdd* configuration options""</t>
  </si>
  <si>
    <t>must be an array.""].join("" ""));var f</t>
  </si>
  <si>
    <t>p=r.modeBarButtons;f=Array.isArray(p)&amp;&amp;p.length?function(t){for(var e=u([]</t>
  </si>
  <si>
    <t>r=0;r&lt;e.length;r++)for(var n=e[r]</t>
  </si>
  <si>
    <t>i=0;i&lt;n.length;i++){var a=n[i];if(""string""==typeof a){if(void 0===l[a])throw new Error([""*modeBarButtons* configuration options""</t>
  </si>
  <si>
    <t>invalid button name""].join("" ""));e[r][i]=l[a]}}return e}(p):!r.displayModeBar&amp;&amp;r.watermark?[]:function(t){var e=t._fullLayout</t>
  </si>
  <si>
    <t>r=t._fullData</t>
  </si>
  <si>
    <t>s=t._context;function u(t</t>
  </si>
  <si>
    <t>e){if(""string""==typeof e){if(e.toLowerCase()===t.toLowerCase())return!0}else{var r=e.name</t>
  </si>
  <si>
    <t>n=e._cat||e.name;if(r===t||n===t.toLowerCase())return!0}return!1}var h=e.modebar.add;""string""==typeof h&amp;&amp;(h=[h]);var f=e.modebar.remove;""string""==typeof f&amp;&amp;(f=[f]);var p=s.modeBarButtonsToAdd.concat(h.filter((function(t){for(var e=0;e&lt;s.modeBarButtonsToRemove.length;e++)if(u(t</t>
  </si>
  <si>
    <t>s.modeBarButtonsToRemove[e]))return!1;return!0})))</t>
  </si>
  <si>
    <t>d=s.modeBarButtonsToRemove.concat(f.filter((function(t){for(var e=0;e&lt;s.modeBarButtonsToAdd.length;e++)if(u(t</t>
  </si>
  <si>
    <t>s.modeBarButtonsToAdd[e]))return!1;return!0})))</t>
  </si>
  <si>
    <t>m=e._has(""cartesian"")</t>
  </si>
  <si>
    <t>g=e._has(""gl3d"")</t>
  </si>
  <si>
    <t>y=e._has(""geo"")</t>
  </si>
  <si>
    <t>v=e._has(""pie"")</t>
  </si>
  <si>
    <t>x=e._has(""funnelarea"")</t>
  </si>
  <si>
    <t>_=e._has(""gl2d"")</t>
  </si>
  <si>
    <t>b=e._has(""ternary"")</t>
  </si>
  <si>
    <t>w=e._has(""mapbox"")</t>
  </si>
  <si>
    <t>T=e._has(""map"")</t>
  </si>
  <si>
    <t>k=e._has(""polar"")</t>
  </si>
  <si>
    <t>A=e._has(""smith"")</t>
  </si>
  <si>
    <t>M=e._has(""sankey"")</t>
  </si>
  <si>
    <t>S=function(t){for(var e=n.list({_fullLayout:t}</t>
  </si>
  <si>
    <t>r=0;r&lt;e.length;r++)if(!e[r].fixedrange)return!1;return!0}(e)</t>
  </si>
  <si>
    <t>E=o(e.hovermode)</t>
  </si>
  <si>
    <t>C=[];function L(t){if(t.length){for(var e=[]</t>
  </si>
  <si>
    <t>r=0;r&lt;t.length;r++){for(var n=t[r]</t>
  </si>
  <si>
    <t>i=l[n]</t>
  </si>
  <si>
    <t>a=i.name.toLowerCase()</t>
  </si>
  <si>
    <t>o=(i._cat||i.name).toLowerCase()</t>
  </si>
  <si>
    <t>s=!1</t>
  </si>
  <si>
    <t>c=0;c&lt;d.length;c++){var u=d[c].toLowerCase();if(u===a||u===o){s=!0;break}}s||e.push(l[n])}C.push(e)}}var I=[""toImage""];s.showEditInChartStudio?I.push(""editInChartStudio""):s.showSendToCloud&amp;&amp;I.push(""sendDataToCloud"")</t>
  </si>
  <si>
    <t>L(I);var P=[]</t>
  </si>
  <si>
    <t>z=[]</t>
  </si>
  <si>
    <t>O=[]</t>
  </si>
  <si>
    <t>D=[];(m||_||v||x||b)+y+g+w+T+k+A&gt;1?(z=[""toggleHover""]</t>
  </si>
  <si>
    <t>O=[""resetViews""]):y?(P=[""zoomInGeo""</t>
  </si>
  <si>
    <t>zoomOutGeo""]</t>
  </si>
  <si>
    <t>z=[""hoverClosestGeo""]</t>
  </si>
  <si>
    <t>O=[""resetGeo""]):g?(z=[""hoverClosest3d""]</t>
  </si>
  <si>
    <t>O=[""resetCameraDefault3d""</t>
  </si>
  <si>
    <t>resetCameraLastSave3d""]):w?(P=[""zoomInMapbox""</t>
  </si>
  <si>
    <t>zoomOutMapbox""]</t>
  </si>
  <si>
    <t>z=[""toggleHover""]</t>
  </si>
  <si>
    <t>O=[""resetViewMapbox""]):T?(P=[""zoomInMap""</t>
  </si>
  <si>
    <t>zoomOutMap""]</t>
  </si>
  <si>
    <t>O=[""resetViewMap""]):_?z=[""hoverClosestGl2d""]:v?z=[""hoverClosestPie""]:M?(z=[""hoverClosestCartesian""</t>
  </si>
  <si>
    <t>hoverCompareCartesian""]</t>
  </si>
  <si>
    <t>O=[""resetViewSankey""]):z=[""toggleHover""]</t>
  </si>
  <si>
    <t>m&amp;&amp;z.push(""toggleSpikelines""</t>
  </si>
  <si>
    <t>hoverClosestCartesian""</t>
  </si>
  <si>
    <t>hoverCompareCartesian"")</t>
  </si>
  <si>
    <t>(function(t){for(var e=0;e&lt;t.length;e++)if(!a.traceIs(t[e]</t>
  </si>
  <si>
    <t>noHover""))return!1;return!0}(r)||E)&amp;&amp;(z=[])</t>
  </si>
  <si>
    <t>!m&amp;&amp;!_||S||(P=[""zoomIn2d""</t>
  </si>
  <si>
    <t>zoomOut2d""</t>
  </si>
  <si>
    <t>autoScale2d""]</t>
  </si>
  <si>
    <t>resetViews""!==O[0]&amp;&amp;(O=[""resetScale2d""]))</t>
  </si>
  <si>
    <t>g?D=[""zoom3d""</t>
  </si>
  <si>
    <t>pan3d""</t>
  </si>
  <si>
    <t>orbitRotation""</t>
  </si>
  <si>
    <t>tableRotation""]:(m||_)&amp;&amp;!S||b?D=[""zoom2d""</t>
  </si>
  <si>
    <t>pan2d""]:w||T||y?D=[""pan2d""]:k&amp;&amp;(D=[""zoom2d""])</t>
  </si>
  <si>
    <t>function(t){for(var e=!1</t>
  </si>
  <si>
    <t>r=0;r&lt;t.length&amp;&amp;!e;r++){var n=t[r];n._module&amp;&amp;n._module.selectPoints&amp;&amp;(a.traceIs(n</t>
  </si>
  <si>
    <t>scatter-like"")?(i.hasMarkers(n)||i.hasText(n))&amp;&amp;(e=!0):a.traceIs(n</t>
  </si>
  <si>
    <t>box-violin"")&amp;&amp;""all""!==n.boxpoints&amp;&amp;""all""!==n.points||(e=!0))}return e}(r)&amp;&amp;D.push(""select2d""</t>
  </si>
  <si>
    <t>lasso2d"");var R=[]</t>
  </si>
  <si>
    <t>F=function(t){-1===R.indexOf(t)&amp;&amp;-1!==z.indexOf(t)&amp;&amp;R.push(t)};if(Array.isArray(p)){for(var B=[]</t>
  </si>
  <si>
    <t>N=0;N&lt;p.length;N++){var j=p[N];""string""==typeof j?(j=j.toLowerCase()</t>
  </si>
  <si>
    <t>-1!==c.indexOf(j)?(e._has(""mapbox"")||e._has(""map"")||e._has(""cartesian""))&amp;&amp;D.push(j):""togglespikelines""===j?F(""toggleSpikelines""):""togglehover""===j?F(""toggleHover""):""hovercompare""===j?F(""hoverCompareCartesian""):""hoverclosest""===j?(F(""hoverClosestCartesian"")</t>
  </si>
  <si>
    <t>F(""hoverClosestGeo"")</t>
  </si>
  <si>
    <t>F(""hoverClosest3d"")</t>
  </si>
  <si>
    <t>F(""hoverClosestGl2d"")</t>
  </si>
  <si>
    <t>F(""hoverClosestPie"")):""v1hovermode""===j&amp;&amp;(F(""hoverClosestCartesian"")</t>
  </si>
  <si>
    <t>F(""hoverCompareCartesian"")</t>
  </si>
  <si>
    <t>F(""hoverClosestPie""))):B.push(j)}p=B}return L(D)</t>
  </si>
  <si>
    <t>L(P.concat(O))</t>
  </si>
  <si>
    <t>L(R)</t>
  </si>
  <si>
    <t>function(t</t>
  </si>
  <si>
    <t>e){if(e.length)if(Array.isArray(e[0]))for(var r=0;r&lt;e.length;r++)t.push(e[r]);else t.push(e);return t}(C</t>
  </si>
  <si>
    <t>p)}(t)</t>
  </si>
  <si>
    <t>h?h.update(t</t>
  </si>
  <si>
    <t>f):e._modeBar=s(t</t>
  </si>
  <si>
    <t>f)}else h&amp;&amp;(h.destroy()</t>
  </si>
  <si>
    <t>delete e._modeBar)}}</t>
  </si>
  <si>
    <t>85393:function(t</t>
  </si>
  <si>
    <t>s=r(29697).version</t>
  </si>
  <si>
    <t>l=new DOMParser;function c(t){this.container=t.container</t>
  </si>
  <si>
    <t>this.element=document.createElement(""div"")</t>
  </si>
  <si>
    <t>this.update(t.graphInfo</t>
  </si>
  <si>
    <t>t.buttons)</t>
  </si>
  <si>
    <t>this.container.appendChild(this.element)}var u=c.prototype;u.update=function(t</t>
  </si>
  <si>
    <t>e){this.graphInfo=t;var r=this.graphInfo._context</t>
  </si>
  <si>
    <t>n=this.graphInfo._fullLayout</t>
  </si>
  <si>
    <t>i=""modebar-""+n._uid;this.element.setAttribute(""id""</t>
  </si>
  <si>
    <t>this._uid=i</t>
  </si>
  <si>
    <t>this.element.className=""modebar""</t>
  </si>
  <si>
    <t>hover""===r.displayModeBar&amp;&amp;(this.element.className+="" modebar--hover ease-bg"")</t>
  </si>
  <si>
    <t>v""===n.modebar.orientation&amp;&amp;(this.element.className+="" vertical""</t>
  </si>
  <si>
    <t>e=e.reverse());var o=n.modebar</t>
  </si>
  <si>
    <t>s=""hover""===r.displayModeBar?"".js-plotly-plot .plotly:hover "":"""";a.deleteRelatedStyleRule(i)</t>
  </si>
  <si>
    <t>a.addRelatedStyleRule(i</t>
  </si>
  <si>
    <t>s+""#""+i+"" .modebar-group""</t>
  </si>
  <si>
    <t>background-color: ""+o.bgcolor)</t>
  </si>
  <si>
    <t>#""+i+"" .modebar-btn .icon path""</t>
  </si>
  <si>
    <t>fill: ""+o.color)</t>
  </si>
  <si>
    <t>#""+i+"" .modebar-btn:hover .icon path""</t>
  </si>
  <si>
    <t>fill: ""+o.activecolor)</t>
  </si>
  <si>
    <t>#""+i+"" .modebar-btn.active .icon path""</t>
  </si>
  <si>
    <t>fill: ""+o.activecolor);var l=!this.hasButtons(e)</t>
  </si>
  <si>
    <t>c=this.hasLogo!==r.displaylogo</t>
  </si>
  <si>
    <t>u=this.locale!==r.locale;if(this.locale=r.locale</t>
  </si>
  <si>
    <t>(l||c||u)&amp;&amp;(this.removeAllButtons()</t>
  </si>
  <si>
    <t>this.updateButtons(e)</t>
  </si>
  <si>
    <t>r.watermark||r.displaylogo)){var h=this.getLogo();r.watermark&amp;&amp;(h.className=h.className+"" watermark"")</t>
  </si>
  <si>
    <t>v""===n.modebar.orientation?this.element.insertBefore(h</t>
  </si>
  <si>
    <t>this.element.childNodes[0]):this.element.appendChild(h)</t>
  </si>
  <si>
    <t>this.hasLogo=!0}this.updateActiveButton()}</t>
  </si>
  <si>
    <t>u.updateButtons=function(t){var e=this;this.buttons=t</t>
  </si>
  <si>
    <t>this.buttonElements=[]</t>
  </si>
  <si>
    <t>this.buttonsNames=[]</t>
  </si>
  <si>
    <t>this.buttons.forEach((function(t){var r=e.createGroup();t.forEach((function(t){var n=t.name;if(!n)throw new Error(""must provide button 'name' in button config"");if(-1!==e.buttonsNames.indexOf(n))throw new Error(""button name '""+n+""' is taken"");e.buttonsNames.push(n);var i=e.createButton(t);e.buttonElements.push(i)</t>
  </si>
  <si>
    <t>r.appendChild(i)}))</t>
  </si>
  <si>
    <t>e.element.appendChild(r)}))}</t>
  </si>
  <si>
    <t>u.createGroup=function(){var t=document.createElement(""div"");return t.className=""modebar-group""</t>
  </si>
  <si>
    <t>u.createButton=function(t){var e=this</t>
  </si>
  <si>
    <t>r=document.createElement(""a"");r.setAttribute(""rel""</t>
  </si>
  <si>
    <t>tooltip"")</t>
  </si>
  <si>
    <t>r.className=""modebar-btn"";var i=t.title;void 0===i?i=t.name:""function""==typeof i&amp;&amp;(i=i(this.graphInfo))</t>
  </si>
  <si>
    <t>(i||0===i)&amp;&amp;r.setAttribute(""data-title""</t>
  </si>
  <si>
    <t>void 0!==t.attr&amp;&amp;r.setAttribute(""data-attr""</t>
  </si>
  <si>
    <t>t.attr);var a=t.val;if(void 0!==a&amp;&amp;(""function""==typeof a&amp;&amp;(a=a(this.graphInfo))</t>
  </si>
  <si>
    <t>function""!=typeof t.click)throw new Error(""must provide button 'click' function in button config"");r.addEventListener(""click""</t>
  </si>
  <si>
    <t>(function(r){t.click(e.graphInfo</t>
  </si>
  <si>
    <t>e.updateActiveButton(r.currentTarget)}))</t>
  </si>
  <si>
    <t>r.setAttribute(""data-toggle""</t>
  </si>
  <si>
    <t>t.toggle||!1)</t>
  </si>
  <si>
    <t>t.toggle&amp;&amp;n.select(r).classed(""active""</t>
  </si>
  <si>
    <t>!0);var s=t.icon;return""function""==typeof s?r.appendChild(s()):r.appendChild(this.createIcon(s||o.question))</t>
  </si>
  <si>
    <t>r.setAttribute(""data-gravity""</t>
  </si>
  <si>
    <t>t.gravity||""n"")</t>
  </si>
  <si>
    <t>r}</t>
  </si>
  <si>
    <t>u.createIcon=function(t){var e</t>
  </si>
  <si>
    <t>r=i(t.height)?Number(t.height):t.ascent-t.descent</t>
  </si>
  <si>
    <t>n=""http://www.w3.org/2000/svg"";if(t.path){(e=document.createElementNS(n</t>
  </si>
  <si>
    <t>svg"")).setAttribute(""viewBox""</t>
  </si>
  <si>
    <t>t.width</t>
  </si>
  <si>
    <t>r].join("" ""))</t>
  </si>
  <si>
    <t>e.setAttribute(""class""</t>
  </si>
  <si>
    <t>icon"");var a=document.createElementNS(n</t>
  </si>
  <si>
    <t>path"");a.setAttribute(""d""</t>
  </si>
  <si>
    <t>t.path)</t>
  </si>
  <si>
    <t>t.transform?a.setAttribute(""transform""</t>
  </si>
  <si>
    <t>t.transform):void 0!==t.ascent&amp;&amp;a.setAttribute(""transform""</t>
  </si>
  <si>
    <t>matrix(1 0 0 -1 0 ""+t.ascent+"")"")</t>
  </si>
  <si>
    <t>e.appendChild(a)}return t.svg&amp;&amp;(e=l.parseFromString(t.svg</t>
  </si>
  <si>
    <t>application/xml"").childNodes[0])</t>
  </si>
  <si>
    <t>e.setAttribute(""height""</t>
  </si>
  <si>
    <t>1em"")</t>
  </si>
  <si>
    <t>e.setAttribute(""width""</t>
  </si>
  <si>
    <t>u.updateActiveButton=function(t){var e=this.graphInfo._fullLayout</t>
  </si>
  <si>
    <t>r=void 0!==t?t.getAttribute(""data-attr""):null;this.buttonElements.forEach((function(t){var i=t.getAttribute(""data-val"")||!0</t>
  </si>
  <si>
    <t>o=t.getAttribute(""data-attr"")</t>
  </si>
  <si>
    <t>s=""true""===t.getAttribute(""data-toggle"")</t>
  </si>
  <si>
    <t>l=n.select(t);if(s)o===r&amp;&amp;l.classed(""active""</t>
  </si>
  <si>
    <t>!l.classed(""active""));else{var c=null===o?o:a.nestedProperty(e</t>
  </si>
  <si>
    <t>o).get();l.classed(""active""</t>
  </si>
  <si>
    <t>c===i)}}))}</t>
  </si>
  <si>
    <t>u.hasButtons=function(t){var e=this.buttons;if(!e)return!1;if(t.length!==e.length)return!1;for(var r=0;r&lt;t.length;++r){if(t[r].length!==e[r].length)return!1;for(var n=0;n&lt;t[r].length;n++)if(t[r][n].name!==e[r][n].name)return!1}return!0}</t>
  </si>
  <si>
    <t>u.getLogo=function(){var t=this.createGroup()</t>
  </si>
  <si>
    <t>e=document.createElement(""a"");return e.href=""https://plotly.com/""</t>
  </si>
  <si>
    <t>e.target=""_blank""</t>
  </si>
  <si>
    <t>e.setAttribute(""data-title""</t>
  </si>
  <si>
    <t>a._(this.graphInfo</t>
  </si>
  <si>
    <t>Produced with Plotly.js"")+"" (v""+s+"")"")</t>
  </si>
  <si>
    <t>e.className=""modebar-btn plotlyjsicon modebar-btn--logo""</t>
  </si>
  <si>
    <t>e.appendChild(this.createIcon(o.newplotlylogo))</t>
  </si>
  <si>
    <t>t.appendChild(e)</t>
  </si>
  <si>
    <t>u.removeAllButtons=function(){for(;this.element.firstChild;)this.element.removeChild(this.element.firstChild);this.hasLogo=!1}</t>
  </si>
  <si>
    <t>u.destroy=function(){a.removeElement(this.container.querySelector("".modebar""))</t>
  </si>
  <si>
    <t>a.deleteRelatedStyleRule(this._uid)}</t>
  </si>
  <si>
    <t>i=new c({graphInfo:t</t>
  </si>
  <si>
    <t>container:r._modebardiv.node()</t>
  </si>
  <si>
    <t>buttons:e});return r._privateplot&amp;&amp;n.select(i.element).append(""span"").classed(""badge-private float--left""</t>
  </si>
  <si>
    <t>!0).text(""PRIVATE"")</t>
  </si>
  <si>
    <t>i}}</t>
  </si>
  <si>
    <t>91032:function(t</t>
  </si>
  <si>
    <t>i=r(10229)</t>
  </si>
  <si>
    <t>a=(0</t>
  </si>
  <si>
    <t>r(78032).templatedArray)(""button""</t>
  </si>
  <si>
    <t>step:{valType:""enumerated""</t>
  </si>
  <si>
    <t>values:[""month""</t>
  </si>
  <si>
    <t>year""</t>
  </si>
  <si>
    <t>day""</t>
  </si>
  <si>
    <t>hour""</t>
  </si>
  <si>
    <t>minute""</t>
  </si>
  <si>
    <t>second""</t>
  </si>
  <si>
    <t>all""]</t>
  </si>
  <si>
    <t>dflt:""month""</t>
  </si>
  <si>
    <t>stepmode:{valType:""enumerated""</t>
  </si>
  <si>
    <t>values:[""backward""</t>
  </si>
  <si>
    <t>todate""]</t>
  </si>
  <si>
    <t>dflt:""backward""</t>
  </si>
  <si>
    <t>count:{valType:""number""</t>
  </si>
  <si>
    <t>label:{valType:""string""</t>
  </si>
  <si>
    <t>editType:""plot""});t.exports={visible:{valType:""boolean""</t>
  </si>
  <si>
    <t>buttons:a</t>
  </si>
  <si>
    <t>min:-2</t>
  </si>
  <si>
    <t>max:3</t>
  </si>
  <si>
    <t>dflt:""bottom""</t>
  </si>
  <si>
    <t>font:n({editType:""plot""})</t>
  </si>
  <si>
    <t>dflt:i.lightLine</t>
  </si>
  <si>
    <t>editType:""plot""}}</t>
  </si>
  <si>
    <t>68508:function(t){""use strict"";t.exports={yPad:.02</t>
  </si>
  <si>
    <t>minButtonWidth:30</t>
  </si>
  <si>
    <t>rx:3</t>
  </si>
  <si>
    <t>lightAmount:25</t>
  </si>
  <si>
    <t>darkAmount:10}}</t>
  </si>
  <si>
    <t>86255:function(t</t>
  </si>
  <si>
    <t>o=r(59008)</t>
  </si>
  <si>
    <t>s=r(91032)</t>
  </si>
  <si>
    <t>l=r(68508);function c(t</t>
  </si>
  <si>
    <t>i){var a=i.calendar;function o(r</t>
  </si>
  <si>
    <t>s.buttons</t>
  </si>
  <si>
    <t>i)}if(o(""visible"")){var l=o(""step"");""all""!==l&amp;&amp;(!a||""gregorian""===a||""month""!==l&amp;&amp;""year""!==l?o(""stepmode""):e.stepmode=""backward""</t>
  </si>
  <si>
    <t>o(""count""))</t>
  </si>
  <si>
    <t>o(""label"")}}t.exports=function(t</t>
  </si>
  <si>
    <t>h){var f=t.rangeselector||{}</t>
  </si>
  <si>
    <t>p=a.newContainer(e</t>
  </si>
  <si>
    <t>rangeselector"");function d(t</t>
  </si>
  <si>
    <t>e){return n.coerce(f</t>
  </si>
  <si>
    <t>e)}if(d(""visible""</t>
  </si>
  <si>
    <t>{name:""buttons""</t>
  </si>
  <si>
    <t>handleItemDefaults:c</t>
  </si>
  <si>
    <t>calendar:h}).length&gt;0)){var m=function(t</t>
  </si>
  <si>
    <t>r){for(var n=r.filter((function(r){return e[r].anchor===t._id}))</t>
  </si>
  <si>
    <t>a=0;a&lt;n.length;a++){var o=e[n[a]].domain;o&amp;&amp;(i=Math.max(o[1]</t>
  </si>
  <si>
    <t>i))}return[t.domain[0]</t>
  </si>
  <si>
    <t>i+l.yPad]}(e</t>
  </si>
  <si>
    <t>u);d(""x""</t>
  </si>
  <si>
    <t>m[0])</t>
  </si>
  <si>
    <t>d(""y""</t>
  </si>
  <si>
    <t>m[1])</t>
  </si>
  <si>
    <t>n.noneOrAll(t</t>
  </si>
  <si>
    <t>d(""xanchor"")</t>
  </si>
  <si>
    <t>d(""yanchor"")</t>
  </si>
  <si>
    <t>n.coerceFont(d</t>
  </si>
  <si>
    <t>r.font);var g=d(""bgcolor"");d(""activecolor""</t>
  </si>
  <si>
    <t>i.contrast(g</t>
  </si>
  <si>
    <t>l.lightAmount</t>
  </si>
  <si>
    <t>l.darkAmount))</t>
  </si>
  <si>
    <t>d(""bordercolor"")</t>
  </si>
  <si>
    <t>d(""borderwidth"")}}}</t>
  </si>
  <si>
    <t>45431:function(t</t>
  </si>
  <si>
    <t>o=r(78766)</t>
  </si>
  <si>
    <t>c=l.strTranslate</t>
  </si>
  <si>
    <t>u=r(30635)</t>
  </si>
  <si>
    <t>h=r(5975)</t>
  </si>
  <si>
    <t>f=r(4530)</t>
  </si>
  <si>
    <t>p=f.LINE_SPACING</t>
  </si>
  <si>
    <t>d=f.FROM_TL</t>
  </si>
  <si>
    <t>m=f.FROM_BR</t>
  </si>
  <si>
    <t>g=r(68508)</t>
  </si>
  <si>
    <t>y=r(16383);function v(t){return t._id}function x(t</t>
  </si>
  <si>
    <t>r){var n=l.ensureSingle(t</t>
  </si>
  <si>
    <t>selector-rect""</t>
  </si>
  <si>
    <t>crispEdges"")}));n.attr({rx:g.rx</t>
  </si>
  <si>
    <t>ry:g.ry})</t>
  </si>
  <si>
    <t>n.call(o.stroke</t>
  </si>
  <si>
    <t>e.bordercolor).call(o.fill</t>
  </si>
  <si>
    <t>e){return e._isActive||e._isHovered?t.activecolor:t.bgcolor}(e</t>
  </si>
  <si>
    <t>r)).style(""stroke-width""</t>
  </si>
  <si>
    <t>e.borderwidth+""px"")}function _(t</t>
  </si>
  <si>
    <t>a;l.ensureSingle(t</t>
  </si>
  <si>
    <t>selector-text""</t>
  </si>
  <si>
    <t>(function(t){t.attr(""text-anchor""</t>
  </si>
  <si>
    <t>middle"")})).call(s.font</t>
  </si>
  <si>
    <t>e.font).text((i=r</t>
  </si>
  <si>
    <t>a=n._fullLayout._meta</t>
  </si>
  <si>
    <t>i.label?a?l.templateString(i.label</t>
  </si>
  <si>
    <t>a):i.label:""all""===i.step?""all"":i.count+i.step.charAt(0))).call((function(t){u.convertToTspans(t</t>
  </si>
  <si>
    <t>n)}))}t.exports=function(t){var e=t._fullLayout._infolayer.selectAll("".rangeselector"").data(function(t){for(var e=h.list(t</t>
  </si>
  <si>
    <t>r=[]</t>
  </si>
  <si>
    <t>n=0;n&lt;e.length;n++){var i=e[n];i.rangeselector&amp;&amp;i.rangeselector.visible&amp;&amp;r.push(i)}return r}(t)</t>
  </si>
  <si>
    <t>v);e.enter().append(""g"").classed(""rangeselector""</t>
  </si>
  <si>
    <t>e.exit().remove()</t>
  </si>
  <si>
    <t>e.style({cursor:""pointer""</t>
  </si>
  <si>
    <t>pointer-events"":""all""})</t>
  </si>
  <si>
    <t>e.each((function(e){var r=n.select(this)</t>
  </si>
  <si>
    <t>h=o.rangeselector</t>
  </si>
  <si>
    <t>f=r.selectAll(""g.button"").data(l.filterVisible(h.buttons));f.enter().append(""g"").classed(""button""</t>
  </si>
  <si>
    <t>f.exit().remove()</t>
  </si>
  <si>
    <t>f.each((function(e){var r=n.select(this)</t>
  </si>
  <si>
    <t>a=y(o</t>
  </si>
  <si>
    <t>e);e._isActive=function(t</t>
  </si>
  <si>
    <t>r){if(""all""===e.step)return!0===t.autorange;var n=Object.keys(r);return t.range[0]===r[n[0]]&amp;&amp;t.range[1]===r[n[1]]}(o</t>
  </si>
  <si>
    <t>r.call(x</t>
  </si>
  <si>
    <t>r.call(_</t>
  </si>
  <si>
    <t>r.on(""click""</t>
  </si>
  <si>
    <t>(function(){t._dragged||i.call(""_guiRelayout""</t>
  </si>
  <si>
    <t>a)}))</t>
  </si>
  <si>
    <t>r.on(""mouseover""</t>
  </si>
  <si>
    <t>(function(){e._isHovered=!0</t>
  </si>
  <si>
    <t>r.on(""mouseout""</t>
  </si>
  <si>
    <t>(function(){e._isHovered=!1</t>
  </si>
  <si>
    <t>e)}))}))</t>
  </si>
  <si>
    <t>o){var h=0</t>
  </si>
  <si>
    <t>f=0</t>
  </si>
  <si>
    <t>y=r.borderwidth;e.each((function(){var t=n.select(this).select("".selector-text"")</t>
  </si>
  <si>
    <t>e=r.font.size*p</t>
  </si>
  <si>
    <t>i=Math.max(e*u.lineCount(t)</t>
  </si>
  <si>
    <t>16)+3;f=Math.max(f</t>
  </si>
  <si>
    <t>i)}))</t>
  </si>
  <si>
    <t>e.each((function(){var t=n.select(this)</t>
  </si>
  <si>
    <t>e=t.select("".selector-rect"")</t>
  </si>
  <si>
    <t>i=t.select("".selector-text"")</t>
  </si>
  <si>
    <t>a=i.node()&amp;&amp;s.bBox(i.node()).width</t>
  </si>
  <si>
    <t>o=r.font.size*p</t>
  </si>
  <si>
    <t>l=u.lineCount(i)</t>
  </si>
  <si>
    <t>d=Math.max(a+10</t>
  </si>
  <si>
    <t>g.minButtonWidth);t.attr(""transform""</t>
  </si>
  <si>
    <t>c(y+h</t>
  </si>
  <si>
    <t>y))</t>
  </si>
  <si>
    <t>e.attr({x:0</t>
  </si>
  <si>
    <t>y:0</t>
  </si>
  <si>
    <t>width:d</t>
  </si>
  <si>
    <t>height:f})</t>
  </si>
  <si>
    <t>u.positionText(i</t>
  </si>
  <si>
    <t>d/2</t>
  </si>
  <si>
    <t>f/2-(l-1)*o/2+3)</t>
  </si>
  <si>
    <t>h+=d+5}));var v=t._fullLayout._size</t>
  </si>
  <si>
    <t>x=v.l+v.w*r.x</t>
  </si>
  <si>
    <t>_=v.t+v.h*(1-r.y)</t>
  </si>
  <si>
    <t>b=""left"";l.isRightAnchor(r)&amp;&amp;(x-=h</t>
  </si>
  <si>
    <t>b=""right"")</t>
  </si>
  <si>
    <t>l.isCenterAnchor(r)&amp;&amp;(x-=h/2</t>
  </si>
  <si>
    <t>b=""center"");var w=""top"";l.isBottomAnchor(r)&amp;&amp;(_-=f</t>
  </si>
  <si>
    <t>w=""bottom"")</t>
  </si>
  <si>
    <t>l.isMiddleAnchor(r)&amp;&amp;(_-=f/2</t>
  </si>
  <si>
    <t>w=""middle"")</t>
  </si>
  <si>
    <t>h=Math.ceil(h)</t>
  </si>
  <si>
    <t>f=Math.ceil(f)</t>
  </si>
  <si>
    <t>x=Math.round(x)</t>
  </si>
  <si>
    <t>_=Math.round(_)</t>
  </si>
  <si>
    <t>i+""-range-selector""</t>
  </si>
  <si>
    <t>{x:r.x</t>
  </si>
  <si>
    <t>y:r.y</t>
  </si>
  <si>
    <t>l:h*d[b]</t>
  </si>
  <si>
    <t>r:h*m[b]</t>
  </si>
  <si>
    <t>b:f*m[w]</t>
  </si>
  <si>
    <t>t:f*d[w]})</t>
  </si>
  <si>
    <t>o.attr(""transform""</t>
  </si>
  <si>
    <t>c(x</t>
  </si>
  <si>
    <t>_))}(t</t>
  </si>
  <si>
    <t>o._name</t>
  </si>
  <si>
    <t>r)}))}}</t>
  </si>
  <si>
    <t>16383:function(t</t>
  </si>
  <si>
    <t>r){""use strict"";var n=r(50936)</t>
  </si>
  <si>
    <t>i=r(34809).titleCase;t.exports=function(t</t>
  </si>
  <si>
    <t>e){var r=t._name</t>
  </si>
  <si>
    <t>a={};if(""all""===e.step)a[r+"".autorange""]=!0;else{var o=function(t</t>
  </si>
  <si>
    <t>a=t.range</t>
  </si>
  <si>
    <t>o=new Date(t.r2l(a[1]))</t>
  </si>
  <si>
    <t>s=e.step</t>
  </si>
  <si>
    <t>l=n[""utc""+i(s)]</t>
  </si>
  <si>
    <t>c=e.count;switch(e.stepmode){case""backward"":r=t.l2r(+l.offset(o</t>
  </si>
  <si>
    <t>-c));break;case""todate"":var u=l.offset(o</t>
  </si>
  <si>
    <t>-c);r=t.l2r(+l.ceil(u))}return[r</t>
  </si>
  <si>
    <t>a[1]]}(t</t>
  </si>
  <si>
    <t>e);a[r+"".range[0]""]=o[0]</t>
  </si>
  <si>
    <t>a[r+"".range[1]""]=o[1]}return a}}</t>
  </si>
  <si>
    <t>44453:function(t</t>
  </si>
  <si>
    <t>name:""rangeselector""</t>
  </si>
  <si>
    <t>schema:{subplots:{xaxis:{rangeselector:r(91032)}}}</t>
  </si>
  <si>
    <t>layoutAttributes:r(91032)</t>
  </si>
  <si>
    <t>handleDefaults:r(86255)</t>
  </si>
  <si>
    <t>draw:r(45431)}}</t>
  </si>
  <si>
    <t>63608:function(t</t>
  </si>
  <si>
    <t>r){""use strict"";var n=r(10229);t.exports={bgcolor:{valType:""color""</t>
  </si>
  <si>
    <t>dflt:n.background</t>
  </si>
  <si>
    <t>dflt:n.defaultLine</t>
  </si>
  <si>
    <t>borderwidth:{valType:""integer""</t>
  </si>
  <si>
    <t>autorange:{valType:""boolean""</t>
  </si>
  <si>
    <t>impliedEdits:{""range[0]"":void 0</t>
  </si>
  <si>
    <t>range[1]"":void 0}}</t>
  </si>
  <si>
    <t>range:{valType:""info_array""</t>
  </si>
  <si>
    <t>items:[{valType:""any""</t>
  </si>
  <si>
    <t>impliedEdits:{""^autorange"":!1}}</t>
  </si>
  <si>
    <t>{valType:""any""</t>
  </si>
  <si>
    <t>impliedEdits:{""^autorange"":!1}}]</t>
  </si>
  <si>
    <t>impliedEdits:{autorange:!1}}</t>
  </si>
  <si>
    <t>dflt:.15</t>
  </si>
  <si>
    <t>46223:function(t</t>
  </si>
  <si>
    <t>r){""use strict"";var n=r(5975).list</t>
  </si>
  <si>
    <t>i=r(32919).getAutoRange</t>
  </si>
  <si>
    <t>a=r(20604);t.exports=function(t){for(var e=n(t</t>
  </si>
  <si>
    <t>r=0;r&lt;e.length;r++){var o=e[r]</t>
  </si>
  <si>
    <t>s=o[a.name];s&amp;&amp;s.visible&amp;&amp;s.autorange&amp;&amp;(s._input.autorange=!0</t>
  </si>
  <si>
    <t>s._input.range=s.range=i(t</t>
  </si>
  <si>
    <t>o))}}}</t>
  </si>
  <si>
    <t>20604:function(t){""use strict"";t.exports={name:""rangeslider""</t>
  </si>
  <si>
    <t>containerClassName:""rangeslider-container""</t>
  </si>
  <si>
    <t>bgClassName:""rangeslider-bg""</t>
  </si>
  <si>
    <t>rangePlotClassName:""rangeslider-rangeplot""</t>
  </si>
  <si>
    <t>maskMinClassName:""rangeslider-mask-min""</t>
  </si>
  <si>
    <t>maskMaxClassName:""rangeslider-mask-max""</t>
  </si>
  <si>
    <t>slideBoxClassName:""rangeslider-slidebox""</t>
  </si>
  <si>
    <t>grabberMinClassName:""rangeslider-grabber-min""</t>
  </si>
  <si>
    <t>grabAreaMinClassName:""rangeslider-grabarea-min""</t>
  </si>
  <si>
    <t>handleMinClassName:""rangeslider-handle-min""</t>
  </si>
  <si>
    <t>grabberMaxClassName:""rangeslider-grabber-max""</t>
  </si>
  <si>
    <t>grabAreaMaxClassName:""rangeslider-grabarea-max""</t>
  </si>
  <si>
    <t>handleMaxClassName:""rangeslider-handle-max""</t>
  </si>
  <si>
    <t>maskMinOppAxisClassName:""rangeslider-mask-min-opp-axis""</t>
  </si>
  <si>
    <t>maskMaxOppAxisClassName:""rangeslider-mask-max-opp-axis""</t>
  </si>
  <si>
    <t>maskColor:""rgba(0</t>
  </si>
  <si>
    <t>0.4)""</t>
  </si>
  <si>
    <t>maskOppAxisColor:""rgba(0</t>
  </si>
  <si>
    <t>0.2)""</t>
  </si>
  <si>
    <t>slideBoxFill:""transparent""</t>
  </si>
  <si>
    <t>slideBoxCursor:""ew-resize""</t>
  </si>
  <si>
    <t>grabAreaFill:""transparent""</t>
  </si>
  <si>
    <t>grabAreaCursor:""col-resize""</t>
  </si>
  <si>
    <t>grabAreaWidth:10</t>
  </si>
  <si>
    <t>handleWidth:4</t>
  </si>
  <si>
    <t>handleRadius:1</t>
  </si>
  <si>
    <t>handleStrokeWidth:1</t>
  </si>
  <si>
    <t>extraPad:15}}</t>
  </si>
  <si>
    <t>41295:function(t</t>
  </si>
  <si>
    <t>o=r(63608)</t>
  </si>
  <si>
    <t>s=r(66249);t.exports=function(t</t>
  </si>
  <si>
    <t>r){var l=t[r]</t>
  </si>
  <si>
    <t>c=e[r];if(l.rangeslider||e._requestRangeslider[c._id]){n.isPlainObject(l.rangeslider)||(l.rangeslider={});var u</t>
  </si>
  <si>
    <t>f=l.rangeslider</t>
  </si>
  <si>
    <t>p=i.newContainer(c</t>
  </si>
  <si>
    <t>rangeslider"");if(b(""visible"")){b(""bgcolor""</t>
  </si>
  <si>
    <t>e.plot_bgcolor)</t>
  </si>
  <si>
    <t>b(""bordercolor"")</t>
  </si>
  <si>
    <t>b(""borderwidth"")</t>
  </si>
  <si>
    <t>b(""thickness"")</t>
  </si>
  <si>
    <t>b(""autorange""</t>
  </si>
  <si>
    <t>!c.isValidRange(f.range))</t>
  </si>
  <si>
    <t>b(""range"");var d=e._subplots;if(d)for(var m=d.cartesian.filter((function(t){return t.substr(0</t>
  </si>
  <si>
    <t>t.indexOf(""y""))===a.name2id(r)})).map((function(t){return t.substr(t.indexOf(""y"")</t>
  </si>
  <si>
    <t>t.length)}))</t>
  </si>
  <si>
    <t>g=n.simpleMap(m</t>
  </si>
  <si>
    <t>a.id2name)</t>
  </si>
  <si>
    <t>y=0;y&lt;g.length;y++){var v=g[y];u=f[v]||{}</t>
  </si>
  <si>
    <t>h=i.newContainer(p</t>
  </si>
  <si>
    <t>yaxis"");var x</t>
  </si>
  <si>
    <t>_=e[v];u.range&amp;&amp;_.isValidRange(u.range)&amp;&amp;(x=""fixed"")</t>
  </si>
  <si>
    <t>match""!==w(""rangemode""</t>
  </si>
  <si>
    <t>x)&amp;&amp;w(""range""</t>
  </si>
  <si>
    <t>_.range.slice())}p._input=f}}function b(t</t>
  </si>
  <si>
    <t>e)}function w(t</t>
  </si>
  <si>
    <t>e){return n.coerce(u</t>
  </si>
  <si>
    <t>88887:function(t</t>
  </si>
  <si>
    <t>s=o.strTranslate</t>
  </si>
  <si>
    <t>l=r(62203)</t>
  </si>
  <si>
    <t>u=r(17240)</t>
  </si>
  <si>
    <t>h=r(37703)</t>
  </si>
  <si>
    <t>f=r(5975)</t>
  </si>
  <si>
    <t>p=r(14751)</t>
  </si>
  <si>
    <t>d=r(27983)</t>
  </si>
  <si>
    <t>m=r(20604);function g(t){return""number""==typeof t.clientX?t.clientX:t.touches&amp;&amp;t.touches.length&gt;0?t.touches[0].clientX:0}function y(t</t>
  </si>
  <si>
    <t>n){var i=o.ensureSingle(t</t>
  </si>
  <si>
    <t>m.bgClassName</t>
  </si>
  <si>
    <t>(function(t){t.attr({x:0</t>
  </si>
  <si>
    <t>shape-rendering"":""crispEdges""})}))</t>
  </si>
  <si>
    <t>a=n.borderwidth%2==0?n.borderwidth:n.borderwidth-1</t>
  </si>
  <si>
    <t>u=-n._offsetShift</t>
  </si>
  <si>
    <t>h=l.crispRound(e</t>
  </si>
  <si>
    <t>n.borderwidth);i.attr({width:n._width+a</t>
  </si>
  <si>
    <t>height:n._height+a</t>
  </si>
  <si>
    <t>transform:s(u</t>
  </si>
  <si>
    <t>stroke-width"":h}).call(c.stroke</t>
  </si>
  <si>
    <t>n.bordercolor).call(c.fill</t>
  </si>
  <si>
    <t>n.bgcolor)}function v(t</t>
  </si>
  <si>
    <t>n){var i=e._fullLayout;o.ensureSingleById(i._topdefs</t>
  </si>
  <si>
    <t>n._clipId</t>
  </si>
  <si>
    <t>(function(t){t.append(""rect"").attr({x:0</t>
  </si>
  <si>
    <t>y:0})})).select(""rect"").attr({width:n._width</t>
  </si>
  <si>
    <t>height:n._height})}function x(t</t>
  </si>
  <si>
    <t>i){var s</t>
  </si>
  <si>
    <t>c=e.calcdata</t>
  </si>
  <si>
    <t>u=t.selectAll(""g.""+m.rangePlotClassName).data(r._subplotsWith</t>
  </si>
  <si>
    <t>o.identity);u.enter().append(""g"").attr(""class""</t>
  </si>
  <si>
    <t>(function(t){return m.rangePlotClassName+"" ""+t})).call(l.setClipUrl</t>
  </si>
  <si>
    <t>i._clipId</t>
  </si>
  <si>
    <t>u.order()</t>
  </si>
  <si>
    <t>o){var l=n.select(this)</t>
  </si>
  <si>
    <t>u=0===o</t>
  </si>
  <si>
    <t>p=f.getFromId(e</t>
  </si>
  <si>
    <t>d=p._name</t>
  </si>
  <si>
    <t>m=i[d]</t>
  </si>
  <si>
    <t>g={data:[]</t>
  </si>
  <si>
    <t>layout:{xaxis:{type:r.type</t>
  </si>
  <si>
    <t>domain:[0</t>
  </si>
  <si>
    <t>1]</t>
  </si>
  <si>
    <t>range:i.range.slice()</t>
  </si>
  <si>
    <t>calendar:r.calendar}</t>
  </si>
  <si>
    <t>width:i._width</t>
  </si>
  <si>
    <t>height:i._height</t>
  </si>
  <si>
    <t>margin:{t:0</t>
  </si>
  <si>
    <t>r:0}}</t>
  </si>
  <si>
    <t>_context:e._context};r.rangebreaks&amp;&amp;(g.layout.xaxis.rangebreaks=r.rangebreaks)</t>
  </si>
  <si>
    <t>g.layout[d]={type:p.type</t>
  </si>
  <si>
    <t>range:""match""!==m.rangemode?m.range.slice():p.range.slice()</t>
  </si>
  <si>
    <t>calendar:p.calendar}</t>
  </si>
  <si>
    <t>p.rangebreaks&amp;&amp;(g.layout[d].rangebreaks=p.rangebreaks)</t>
  </si>
  <si>
    <t>a.supplyDefaults(g);var y=g._fullLayout.xaxis</t>
  </si>
  <si>
    <t>v=g._fullLayout[d];y.clearCalc()</t>
  </si>
  <si>
    <t>y.setScale()</t>
  </si>
  <si>
    <t>v.clearCalc()</t>
  </si>
  <si>
    <t>v.setScale();var x={id:t</t>
  </si>
  <si>
    <t>plotgroup:l</t>
  </si>
  <si>
    <t>xaxis:y</t>
  </si>
  <si>
    <t>yaxis:v</t>
  </si>
  <si>
    <t>isRangePlot:!0};u?s=x:(x.mainplot=""xy""</t>
  </si>
  <si>
    <t>x.mainplotinfo=s)</t>
  </si>
  <si>
    <t>h.rangePlot(e</t>
  </si>
  <si>
    <t>e){for(var r=[]</t>
  </si>
  <si>
    <t>n=0;n&lt;t.length;n++){var i=t[n]</t>
  </si>
  <si>
    <t>a=i[0].trace;a.xaxis+a.yaxis===e&amp;&amp;r.push(i)}return r}(c</t>
  </si>
  <si>
    <t>t))}))}function _(t</t>
  </si>
  <si>
    <t>i){o.ensureSingle(t</t>
  </si>
  <si>
    <t>m.maskMinClassName</t>
  </si>
  <si>
    <t>shape-rendering"":""crispEdges""})})).attr(""height""</t>
  </si>
  <si>
    <t>n._height).call(c.fill</t>
  </si>
  <si>
    <t>m.maskColor)</t>
  </si>
  <si>
    <t>o.ensureSingle(t</t>
  </si>
  <si>
    <t>m.maskMaxClassName</t>
  </si>
  <si>
    <t>(function(t){t.attr({y:0</t>
  </si>
  <si>
    <t>match""!==i.rangemode&amp;&amp;(o.ensureSingle(t</t>
  </si>
  <si>
    <t>m.maskMinOppAxisClassName</t>
  </si>
  <si>
    <t>shape-rendering"":""crispEdges""})})).attr(""width""</t>
  </si>
  <si>
    <t>n._width).call(c.fill</t>
  </si>
  <si>
    <t>m.maskOppAxisColor)</t>
  </si>
  <si>
    <t>m.maskMaxOppAxisClassName</t>
  </si>
  <si>
    <t>n._width).style(""border-top""</t>
  </si>
  <si>
    <t>m.maskOppBorder).call(c.fill</t>
  </si>
  <si>
    <t>m.maskOppAxisColor))}function b(t</t>
  </si>
  <si>
    <t>n){e._context.staticPlot||o.ensureSingle(t</t>
  </si>
  <si>
    <t>m.slideBoxClassName</t>
  </si>
  <si>
    <t>cursor:m.slideBoxCursor</t>
  </si>
  <si>
    <t>shape-rendering"":""crispEdges""})})).attr({height:n._height</t>
  </si>
  <si>
    <t>fill:m.slideBoxFill})}function w(t</t>
  </si>
  <si>
    <t>m.grabberMinClassName)</t>
  </si>
  <si>
    <t>a=o.ensureSingle(t</t>
  </si>
  <si>
    <t>m.grabberMaxClassName)</t>
  </si>
  <si>
    <t>s={x:0</t>
  </si>
  <si>
    <t>width:m.handleWidth</t>
  </si>
  <si>
    <t>rx:m.handleRadius</t>
  </si>
  <si>
    <t>fill:c.background</t>
  </si>
  <si>
    <t>stroke:c.defaultLine</t>
  </si>
  <si>
    <t>stroke-width"":m.handleStrokeWidth</t>
  </si>
  <si>
    <t>shape-rendering"":""crispEdges""}</t>
  </si>
  <si>
    <t>l={y:Math.round(n._height/4)</t>
  </si>
  <si>
    <t>height:Math.round(n._height/2)};o.ensureSingle(i</t>
  </si>
  <si>
    <t>m.handleMinClassName</t>
  </si>
  <si>
    <t>(function(t){t.attr(s)})).attr(l)</t>
  </si>
  <si>
    <t>o.ensureSingle(a</t>
  </si>
  <si>
    <t>m.handleMaxClassName</t>
  </si>
  <si>
    <t>(function(t){t.attr(s)})).attr(l);var u={width:m.grabAreaWidth</t>
  </si>
  <si>
    <t>x:0</t>
  </si>
  <si>
    <t>fill:m.grabAreaFill</t>
  </si>
  <si>
    <t>cursor:e._context.staticPlot?void 0:m.grabAreaCursor};o.ensureSingle(i</t>
  </si>
  <si>
    <t>m.grabAreaMinClassName</t>
  </si>
  <si>
    <t>(function(t){t.attr(u)})).attr(""height""</t>
  </si>
  <si>
    <t>n._height)</t>
  </si>
  <si>
    <t>m.grabAreaMaxClassName</t>
  </si>
  <si>
    <t>n._height)}t.exports=function(t){for(var e=t._fullLayout</t>
  </si>
  <si>
    <t>r=e._rangeSliderData</t>
  </si>
  <si>
    <t>a=0;a&lt;r.length;a++){var l=r[a][m.name];l._clipId=l._id+""-""+e._uid}var c=e._infolayer.selectAll(""g.""+m.containerClassName).data(r</t>
  </si>
  <si>
    <t>(function(t){return t._name}));c.exit().each((function(t){var r=t[m.name];e._topdefs.select(""#""+r._clipId).remove()})).remove()</t>
  </si>
  <si>
    <t>0!==r.length&amp;&amp;(c.enter().append(""g"").classed(m.containerClassName</t>
  </si>
  <si>
    <t>!0).attr(""pointer-events""</t>
  </si>
  <si>
    <t>c.each((function(r){var a=n.select(this)</t>
  </si>
  <si>
    <t>l=r[m.name]</t>
  </si>
  <si>
    <t>c=e[f.id2name(r.anchor)]</t>
  </si>
  <si>
    <t>h=l[f.id2name(r.anchor)];if(l.range){var T</t>
  </si>
  <si>
    <t>k=o.simpleMap(l.range</t>
  </si>
  <si>
    <t>r.r2l)</t>
  </si>
  <si>
    <t>A=o.simpleMap(r.range</t>
  </si>
  <si>
    <t>r.r2l);T=A[0]&lt;A[1]?[Math.min(k[0]</t>
  </si>
  <si>
    <t>A[0])</t>
  </si>
  <si>
    <t>Math.max(k[1]</t>
  </si>
  <si>
    <t>A[1])]:[Math.max(k[0]</t>
  </si>
  <si>
    <t>Math.min(k[1]</t>
  </si>
  <si>
    <t>A[1])]</t>
  </si>
  <si>
    <t>l.range=l._input.range=o.simpleMap(T</t>
  </si>
  <si>
    <t>r.l2r)}r.cleanRange(""rangeslider.range"");var M=e._size</t>
  </si>
  <si>
    <t>S=r.domain;l._width=M.w*(S[1]-S[0]);var E=Math.round(M.l+M.w*S[0])</t>
  </si>
  <si>
    <t>C=Math.round(M.t+M.h*(1-r._counterDomainMin)+(""bottom""===r.side?r._depth:0)+l._offsetShift+m.extraPad);a.attr(""transform""</t>
  </si>
  <si>
    <t>s(E</t>
  </si>
  <si>
    <t>C))</t>
  </si>
  <si>
    <t>l._rl=o.simpleMap(l.range</t>
  </si>
  <si>
    <t>r.r2l);var L=l._rl[0]</t>
  </si>
  <si>
    <t>I=l._rl[1]</t>
  </si>
  <si>
    <t>P=I-L;if(l.p2d=function(t){return t/l._width*P+L}</t>
  </si>
  <si>
    <t>l.d2p=function(t){return(t-L)/P*l._width}</t>
  </si>
  <si>
    <t>r.rangebreaks){var z=r.locateBreaks(L</t>
  </si>
  <si>
    <t>I);if(z.length){var O</t>
  </si>
  <si>
    <t>R=0;for(O=0;O&lt;z.length;O++)R+=(D=z[O]).max-D.min;var F=l._width/(I-L-R)</t>
  </si>
  <si>
    <t>B=[-F*L];for(O=0;O&lt;z.length;O++)D=z[O]</t>
  </si>
  <si>
    <t>B.push(B[B.length-1]-F*(D.max-D.min));for(l.d2p=function(t){for(var e=B[0]</t>
  </si>
  <si>
    <t>r=0;r&lt;z.length;r++){var n=z[r];if(t&gt;=n.max)e=B[r+1];else if(t&lt;n.min)break}return e+F*t}</t>
  </si>
  <si>
    <t>O=0;O&lt;z.length;O++)(D=z[O]).pmin=l.d2p(D.min)</t>
  </si>
  <si>
    <t>D.pmax=l.d2p(D.max);l.p2d=function(t){for(var e=B[0]</t>
  </si>
  <si>
    <t>r=0;r&lt;z.length;r++){var n=z[r];if(t&gt;=n.pmax)e=B[r+1];else if(t&lt;n.pmin)break}return(t-e)/F}}}if(""match""!==h.rangemode){var N=c.r2l(h.range[0])</t>
  </si>
  <si>
    <t>j=c.r2l(h.range[1])-N;l.d2pOppAxis=function(t){return(t-N)/j*l._height}}a.call(y</t>
  </si>
  <si>
    <t>l).call(v</t>
  </si>
  <si>
    <t>l).call(x</t>
  </si>
  <si>
    <t>l).call(_</t>
  </si>
  <si>
    <t>h).call(b</t>
  </si>
  <si>
    <t>l).call(w</t>
  </si>
  <si>
    <t>a){if(!e._context.staticPlot){var s=t.select(""rect.""+m.slideBoxClassName).node()</t>
  </si>
  <si>
    <t>l=t.select(""rect.""+m.grabAreaMinClassName).node()</t>
  </si>
  <si>
    <t>c=t.select(""rect.""+m.grabAreaMaxClassName).node();t.on(""mousedown""</t>
  </si>
  <si>
    <t>t.on(""touchstart""</t>
  </si>
  <si>
    <t>u)}function u(){var u=n.event</t>
  </si>
  <si>
    <t>h=u.target</t>
  </si>
  <si>
    <t>f=g(u)</t>
  </si>
  <si>
    <t>m=f-t.node().getBoundingClientRect().left</t>
  </si>
  <si>
    <t>y=a.d2p(r._rl[0])</t>
  </si>
  <si>
    <t>v=a.d2p(r._rl[1])</t>
  </si>
  <si>
    <t>x=p.coverSlip();function _(t){var u</t>
  </si>
  <si>
    <t>b=+g(t)-f;switch(h){case s:if(_=""ew-resize""</t>
  </si>
  <si>
    <t>y+b&gt;r._length||v+b&lt;0)return;u=y+b</t>
  </si>
  <si>
    <t>p=v+b;break;case l:if(_=""col-resize""</t>
  </si>
  <si>
    <t>y+b&gt;r._length)return;u=y+b</t>
  </si>
  <si>
    <t>p=v;break;case c:if(_=""col-resize""</t>
  </si>
  <si>
    <t>v+b&lt;0)return;u=y</t>
  </si>
  <si>
    <t>p=v+b;break;default:_=""ew-resize""</t>
  </si>
  <si>
    <t>u=m</t>
  </si>
  <si>
    <t>p=m+b}if(p&lt;u){var w=p;p=u</t>
  </si>
  <si>
    <t>u=w}a._pixelMin=u</t>
  </si>
  <si>
    <t>a._pixelMax=p</t>
  </si>
  <si>
    <t>d(n.select(x)</t>
  </si>
  <si>
    <t>_)</t>
  </si>
  <si>
    <t>n){function a(t){return r.l2r(o.constrain(t</t>
  </si>
  <si>
    <t>n._rl[0]</t>
  </si>
  <si>
    <t>n._rl[1]))}var s=a(n.p2d(n._pixelMin))</t>
  </si>
  <si>
    <t>l=a(n.p2d(n._pixelMax));window.requestAnimationFrame((function(){i.call(""_guiRelayout""</t>
  </si>
  <si>
    <t>r._name+"".range""</t>
  </si>
  <si>
    <t>[s</t>
  </si>
  <si>
    <t>l])}))}(0</t>
  </si>
  <si>
    <t>a)}function b(){x.removeEventListener(""mousemove""</t>
  </si>
  <si>
    <t>x.removeEventListener(""mouseup""</t>
  </si>
  <si>
    <t>this.removeEventListener(""touchmove""</t>
  </si>
  <si>
    <t>this.removeEventListener(""touchend""</t>
  </si>
  <si>
    <t>o.removeElement(x)}this.addEventListener(""touchmove""</t>
  </si>
  <si>
    <t>this.addEventListener(""touchend""</t>
  </si>
  <si>
    <t>x.addEventListener(""mousemove""</t>
  </si>
  <si>
    <t>x.addEventListener(""mouseup""</t>
  </si>
  <si>
    <t>b)}}(a</t>
  </si>
  <si>
    <t>a){var l=m.handleWidth/2;function c(t){return o.constrain(t</t>
  </si>
  <si>
    <t>n._width)}function u(t){return o.constrain(t</t>
  </si>
  <si>
    <t>n._height)}function h(t){return o.constrain(t</t>
  </si>
  <si>
    <t>n._width+l)}var f=c(n.d2p(r._rl[0]))</t>
  </si>
  <si>
    <t>p=c(n.d2p(r._rl[1]));if(t.select(""rect.""+m.slideBoxClassName).attr(""x""</t>
  </si>
  <si>
    <t>f).attr(""width""</t>
  </si>
  <si>
    <t>p-f)</t>
  </si>
  <si>
    <t>t.select(""rect.""+m.maskMinClassName).attr(""width""</t>
  </si>
  <si>
    <t>f)</t>
  </si>
  <si>
    <t>t.select(""rect.""+m.maskMaxClassName).attr(""x""</t>
  </si>
  <si>
    <t>p).attr(""width""</t>
  </si>
  <si>
    <t>n._width-p)</t>
  </si>
  <si>
    <t>match""!==a.rangemode){var d=n._height-u(n.d2pOppAxis(i._rl[1]))</t>
  </si>
  <si>
    <t>g=n._height-u(n.d2pOppAxis(i._rl[0]));t.select(""rect.""+m.maskMinOppAxisClassName).attr(""x""</t>
  </si>
  <si>
    <t>f).attr(""height""</t>
  </si>
  <si>
    <t>d).attr(""width""</t>
  </si>
  <si>
    <t>t.select(""rect.""+m.maskMaxOppAxisClassName).attr(""x""</t>
  </si>
  <si>
    <t>f).attr(""y""</t>
  </si>
  <si>
    <t>g).attr(""height""</t>
  </si>
  <si>
    <t>n._height-g).attr(""width""</t>
  </si>
  <si>
    <t>t.select(""rect.""+m.slideBoxClassName).attr(""y""</t>
  </si>
  <si>
    <t>d).attr(""height""</t>
  </si>
  <si>
    <t>g-d)}var y=.5</t>
  </si>
  <si>
    <t>v=Math.round(h(f-l))-y</t>
  </si>
  <si>
    <t>x=Math.round(h(p-l))+y;t.select(""g.""+m.grabberMinClassName).attr(""transform""</t>
  </si>
  <si>
    <t>s(v</t>
  </si>
  <si>
    <t>t.select(""g.""+m.grabberMaxClassName).attr(""transform""</t>
  </si>
  <si>
    <t>s(x</t>
  </si>
  <si>
    <t>y))}(a</t>
  </si>
  <si>
    <t>h)</t>
  </si>
  <si>
    <t>bottom""===r.side&amp;&amp;u.draw(t</t>
  </si>
  <si>
    <t>r._id+""title""</t>
  </si>
  <si>
    <t>{propContainer:r</t>
  </si>
  <si>
    <t>propName:r._name+"".title""</t>
  </si>
  <si>
    <t>placeholder:e._dfltTitle.x</t>
  </si>
  <si>
    <t>attributes:{x:r._offset+r._length/2</t>
  </si>
  <si>
    <t>y:C+l._height+l._offsetShift+10+1.5*r.title.font.size</t>
  </si>
  <si>
    <t>text-anchor"":""middle""}})})))}}</t>
  </si>
  <si>
    <t>80400:function(t</t>
  </si>
  <si>
    <t>i=r(30635)</t>
  </si>
  <si>
    <t>a=r(20604)</t>
  </si>
  <si>
    <t>o=r(4530).LINE_SPACING</t>
  </si>
  <si>
    <t>s=a.name;function l(t){var e=t&amp;&amp;t[s];return e&amp;&amp;e.visible}e.isVisible=l</t>
  </si>
  <si>
    <t>e.makeData=function(t){var e=n.list({_fullLayout:t}</t>
  </si>
  <si>
    <t>r=t.margin</t>
  </si>
  <si>
    <t>i=[];if(!t._has(""gl2d""))for(var a=0;a&lt;e.length;a++){var o=e[a];if(l(o)){i.push(o);var c=o[s];c._id=s+o._id</t>
  </si>
  <si>
    <t>c._height=(t.height-r.b-r.t)*c.thickness</t>
  </si>
  <si>
    <t>c._offsetShift=Math.floor(c.borderwidth/2)}}t._rangeSliderData=i}</t>
  </si>
  <si>
    <t>e.autoMarginOpts=function(t</t>
  </si>
  <si>
    <t>n=e[s]</t>
  </si>
  <si>
    <t>l=e._id.charAt(0)</t>
  </si>
  <si>
    <t>c=0</t>
  </si>
  <si>
    <t>u=0;return""bottom""===e.side&amp;&amp;(c=e._depth</t>
  </si>
  <si>
    <t>e.title.text!==r._dfltTitle[l]&amp;&amp;(u=1.5*e.title.font.size+10+n._offsetShift</t>
  </si>
  <si>
    <t>u+=(e.title.text.match(i.BR_TAG_ALL)||[]).length*e.title.font.size*o))</t>
  </si>
  <si>
    <t>{x:0</t>
  </si>
  <si>
    <t>y:e._counterDomainMin</t>
  </si>
  <si>
    <t>r:0</t>
  </si>
  <si>
    <t>t:0</t>
  </si>
  <si>
    <t>b:n._height+c+Math.max(r.margin.b</t>
  </si>
  <si>
    <t>pad:a.extraPad+2*n._offsetShift}}}</t>
  </si>
  <si>
    <t>55429:function(t</t>
  </si>
  <si>
    <t>i=r(63608)</t>
  </si>
  <si>
    <t>a=r(66249)</t>
  </si>
  <si>
    <t>o=r(80400);t.exports={moduleType:""component""</t>
  </si>
  <si>
    <t>name:""rangeslider""</t>
  </si>
  <si>
    <t>schema:{subplots:{xaxis:{rangeslider:n.extendFlat({}</t>
  </si>
  <si>
    <t>{yaxis:a})}}}</t>
  </si>
  <si>
    <t>layoutAttributes:r(63608)</t>
  </si>
  <si>
    <t>handleDefaults:r(41295)</t>
  </si>
  <si>
    <t>calcAutorange:r(46223)</t>
  </si>
  <si>
    <t>draw:r(88887)</t>
  </si>
  <si>
    <t>isVisible:o.isVisible</t>
  </si>
  <si>
    <t>makeData:o.makeData</t>
  </si>
  <si>
    <t>autoMarginOpts:o.autoMarginOpts}}</t>
  </si>
  <si>
    <t>66249:function(t){""use strict"";t.exports={_isSubplotObj:!0</t>
  </si>
  <si>
    <t>rangemode:{valType:""enumerated""</t>
  </si>
  <si>
    <t>fixed""</t>
  </si>
  <si>
    <t>match""]</t>
  </si>
  <si>
    <t>dflt:""match""</t>
  </si>
  <si>
    <t>editType:""plot""}]</t>
  </si>
  <si>
    <t>4327:function(t</t>
  </si>
  <si>
    <t>r){""use strict"";var n=r(50222)</t>
  </si>
  <si>
    <t>i=r(36640).line</t>
  </si>
  <si>
    <t>a=r(94850).T</t>
  </si>
  <si>
    <t>o=r(93049).extendFlat</t>
  </si>
  <si>
    <t>s=r(13582).overrideAll</t>
  </si>
  <si>
    <t>l=r(78032).templatedArray;r(35081)</t>
  </si>
  <si>
    <t>t.exports=s(l(""selection""</t>
  </si>
  <si>
    <t>{type:{valType:""enumerated""</t>
  </si>
  <si>
    <t>values:[""rect""</t>
  </si>
  <si>
    <t>path""]}</t>
  </si>
  <si>
    <t>xref:o({}</t>
  </si>
  <si>
    <t>n.xref</t>
  </si>
  <si>
    <t>yref:o({}</t>
  </si>
  <si>
    <t>n.yref</t>
  </si>
  <si>
    <t>x0:{valType:""any""}</t>
  </si>
  <si>
    <t>x1:{valType:""any""}</t>
  </si>
  <si>
    <t>y0:{valType:""any""}</t>
  </si>
  <si>
    <t>y1:{valType:""any""}</t>
  </si>
  <si>
    <t>path:{valType:""string""</t>
  </si>
  <si>
    <t>dflt:.7</t>
  </si>
  <si>
    <t>line:{color:i.color</t>
  </si>
  <si>
    <t>width:o({}</t>
  </si>
  <si>
    <t>i.width</t>
  </si>
  <si>
    <t>{min:1</t>
  </si>
  <si>
    <t>dflt:1})</t>
  </si>
  <si>
    <t>dash:o({}</t>
  </si>
  <si>
    <t>{dflt:""dot""})}})</t>
  </si>
  <si>
    <t>arraydraw""</t>
  </si>
  <si>
    <t>78865:function(t){""use strict"";t.exports={BENDPX:1.5</t>
  </si>
  <si>
    <t>MINSELECT:12</t>
  </si>
  <si>
    <t>SELECTDELAY:100</t>
  </si>
  <si>
    <t>SELECTID:""-select""}}</t>
  </si>
  <si>
    <t>2272:function(t</t>
  </si>
  <si>
    <t>o=r(4327)</t>
  </si>
  <si>
    <t>s=r(49728);function l(t</t>
  </si>
  <si>
    <t>i)}var l=a(""path"")</t>
  </si>
  <si>
    <t>c=""path""!==a(""type""</t>
  </si>
  <si>
    <t>l?""path"":""rect"");c&amp;&amp;delete e.path</t>
  </si>
  <si>
    <t>a(""opacity"")</t>
  </si>
  <si>
    <t>a(""line.color"")</t>
  </si>
  <si>
    <t>a(""line.width"")</t>
  </si>
  <si>
    <t>a(""line.dash"");for(var u=[""x""</t>
  </si>
  <si>
    <t>h=0;h&lt;2;h++){var f</t>
  </si>
  <si>
    <t>m=u[h]</t>
  </si>
  <si>
    <t>g={_fullLayout:r}</t>
  </si>
  <si>
    <t>y=i.coerceRef(t</t>
  </si>
  <si>
    <t>m);if((f=i.getFromId(g</t>
  </si>
  <si>
    <t>y))._selectionIndices.push(e._index)</t>
  </si>
  <si>
    <t>d=s.rangeToShapePosition(f)</t>
  </si>
  <si>
    <t>p=s.shapePositionToRange(f)</t>
  </si>
  <si>
    <t>c){var v=m+""0""</t>
  </si>
  <si>
    <t>x=m+""1""</t>
  </si>
  <si>
    <t>_=t[v]</t>
  </si>
  <si>
    <t>b=t[x];t[v]=p(t[v]</t>
  </si>
  <si>
    <t>t[x]=p(t[x]</t>
  </si>
  <si>
    <t>x);var w=e[v]</t>
  </si>
  <si>
    <t>T=e[x];void 0!==w&amp;&amp;void 0!==T&amp;&amp;(e[v]=d(w)</t>
  </si>
  <si>
    <t>e[x]=d(T)</t>
  </si>
  <si>
    <t>t[v]=_</t>
  </si>
  <si>
    <t>t[x]=b)}}c&amp;&amp;n.noneOrAll(t</t>
  </si>
  <si>
    <t>[""x0""</t>
  </si>
  <si>
    <t>x1""</t>
  </si>
  <si>
    <t>y0""</t>
  </si>
  <si>
    <t>y1""])}t.exports=function(t</t>
  </si>
  <si>
    <t>{name:""selections""</t>
  </si>
  <si>
    <t>handleItemDefaults:l});for(var r=e.selections</t>
  </si>
  <si>
    <t>n=0;n&lt;r.length;n++){var i=r[n];i&amp;&amp;void 0===i.path&amp;&amp;(void 0!==i.x0&amp;&amp;void 0!==i.x1&amp;&amp;void 0!==i.y0&amp;&amp;void 0!==i.y1||(e.selections[n]=null))}}}</t>
  </si>
  <si>
    <t>7028:function(t</t>
  </si>
  <si>
    <t>r){""use strict"";var n=r(81055).readPaths</t>
  </si>
  <si>
    <t>i=r(561)</t>
  </si>
  <si>
    <t>a=r(78534).clearOutlineControllers</t>
  </si>
  <si>
    <t>l=r(78032).arrayEditor</t>
  </si>
  <si>
    <t>c=r(49728)</t>
  </si>
  <si>
    <t>u=c.getPathString;function h(t){var e=t._fullLayout;for(var r in a(t)</t>
  </si>
  <si>
    <t>e._selectionLayer.selectAll(""path"").remove()</t>
  </si>
  <si>
    <t>e._plots){var n=e._plots[r].selectionLayer;n&amp;&amp;n.selectAll(""path"").remove()}for(var i=0;i&lt;e.selections.length;i++)p(t</t>
  </si>
  <si>
    <t>i)}function f(t){return t._context.editSelection}function p(t</t>
  </si>
  <si>
    <t>e){t._fullLayout._paperdiv.selectAll('.selectionlayer [data-index=""'+e+'""]').remove();var r=c.makeSelectionsOptionsAndPlotinfo(t</t>
  </si>
  <si>
    <t>a=r.options</t>
  </si>
  <si>
    <t>p=r.plotinfo;a._input&amp;&amp;function(r){var c=u(t</t>
  </si>
  <si>
    <t>g={""data-index"":e</t>
  </si>
  <si>
    <t>fill-rule"":""evenodd""</t>
  </si>
  <si>
    <t>d:c}</t>
  </si>
  <si>
    <t>y=a.opacity</t>
  </si>
  <si>
    <t>v=""rgba(0</t>
  </si>
  <si>
    <t>x=a.line.color||o.contrast(t._fullLayout.plot_bgcolor)</t>
  </si>
  <si>
    <t>_=a.line.width</t>
  </si>
  <si>
    <t>b=a.line.dash;_||(_=5</t>
  </si>
  <si>
    <t>b=""solid"");var w=f(t)&amp;&amp;t._fullLayout._activeSelectionIndex===e;w&amp;&amp;(v=t._fullLayout.activeselection.fillcolor</t>
  </si>
  <si>
    <t>y=t._fullLayout.activeselection.opacity);for(var T=[]</t>
  </si>
  <si>
    <t>k=1;k&gt;=0;k--){var A=r.append(""path"").attr(g).style(""opacity""</t>
  </si>
  <si>
    <t>k?.1:y).call(o.stroke</t>
  </si>
  <si>
    <t>x).call(o.fill</t>
  </si>
  <si>
    <t>v).call(s.dashLine</t>
  </si>
  <si>
    <t>k?""solid"":b</t>
  </si>
  <si>
    <t>k?4+_:_);if(d(A</t>
  </si>
  <si>
    <t>w){var M=l(t.layout</t>
  </si>
  <si>
    <t>selections""</t>
  </si>
  <si>
    <t>a);A.style({cursor:""move""});var S={element:A.node()</t>
  </si>
  <si>
    <t>plotinfo:p</t>
  </si>
  <si>
    <t>editHelpers:M</t>
  </si>
  <si>
    <t>isActiveSelection:!0}</t>
  </si>
  <si>
    <t>E=n(c</t>
  </si>
  <si>
    <t>t);i(E</t>
  </si>
  <si>
    <t>S)}else A.style(""pointer-events""</t>
  </si>
  <si>
    <t>k?""all"":""none"");T[k]=A}var C=T[0];T[1].node().addEventListener(""click""</t>
  </si>
  <si>
    <t>(function(){return function(t</t>
  </si>
  <si>
    <t>e){if(f(t)){var r=+e.node().getAttribute(""data-index"");if(r&gt;=0){if(r===t._fullLayout._activeSelectionIndex)return void m(t);t._fullLayout._activeSelectionIndex=r</t>
  </si>
  <si>
    <t>t._fullLayout._deactivateSelection=m</t>
  </si>
  <si>
    <t>h(t)}}}(t</t>
  </si>
  <si>
    <t>C)}))}(t._fullLayout._selectionLayer)}function d(t</t>
  </si>
  <si>
    <t>r){var n=r.xref+r.yref;s.setClipUrl(t</t>
  </si>
  <si>
    <t>clip""+e._fullLayout._uid+n</t>
  </si>
  <si>
    <t>e)}function m(t){f(t)&amp;&amp;t._fullLayout._activeSelectionIndex&gt;=0&amp;&amp;(a(t)</t>
  </si>
  <si>
    <t>delete t._fullLayout._activeSelectionIndex</t>
  </si>
  <si>
    <t>h(t))}t.exports={draw:h</t>
  </si>
  <si>
    <t>drawOne:p</t>
  </si>
  <si>
    <t>activateLastSelection:function(t){if(f(t)){var e=t._fullLayout.selections.length-1;t._fullLayout._activeSelectionIndex=e</t>
  </si>
  <si>
    <t>h(t)}}}}</t>
  </si>
  <si>
    <t>52307:function(t</t>
  </si>
  <si>
    <t>r){""use strict"";var n=r(94850).T</t>
  </si>
  <si>
    <t>i=r(93049).extendFlat;t.exports={newselection:{mode:{valType:""enumerated""</t>
  </si>
  <si>
    <t>values:[""immediate""</t>
  </si>
  <si>
    <t>gradual""]</t>
  </si>
  <si>
    <t>dflt:""immediate""</t>
  </si>
  <si>
    <t>line:{color:{valType:""color""</t>
  </si>
  <si>
    <t>dash:i({}</t>
  </si>
  <si>
    <t>{dflt:""dot""</t>
  </si>
  <si>
    <t>activeselection:{fillcolor:{valType:""color""</t>
  </si>
  <si>
    <t>dflt:.5</t>
  </si>
  <si>
    <t>43028:function(t){""use strict"";t.exports=function(t</t>
  </si>
  <si>
    <t>r){r(""newselection.mode"")</t>
  </si>
  <si>
    <t>r(""newselection.line.width"")&amp;&amp;(r(""newselection.line.color"")</t>
  </si>
  <si>
    <t>r(""newselection.line.dash""))</t>
  </si>
  <si>
    <t>r(""activeselection.fillcolor"")</t>
  </si>
  <si>
    <t>r(""activeselection.opacity"")}}</t>
  </si>
  <si>
    <t>51817:function(t</t>
  </si>
  <si>
    <t>r){""use strict"";var n=r(70414).selectMode</t>
  </si>
  <si>
    <t>i=r(78534).clearOutline</t>
  </si>
  <si>
    <t>a=r(81055)</t>
  </si>
  <si>
    <t>o=a.readPaths</t>
  </si>
  <si>
    <t>s=a.writePaths</t>
  </si>
  <si>
    <t>l=a.fixDatesForPaths;t.exports=function(t</t>
  </si>
  <si>
    <t>e){if(t.length){var r=t[0][0];if(r){var a=r.getAttribute(""d"")</t>
  </si>
  <si>
    <t>c=e.gd</t>
  </si>
  <si>
    <t>u=c._fullLayout.newselection</t>
  </si>
  <si>
    <t>h=e.plotinfo</t>
  </si>
  <si>
    <t>f=h.xaxis</t>
  </si>
  <si>
    <t>p=h.yaxis</t>
  </si>
  <si>
    <t>d=e.isActiveSelection</t>
  </si>
  <si>
    <t>m=e.dragmode</t>
  </si>
  <si>
    <t>g=(c.layout||{}).selections||[];if(!n(m)&amp;&amp;void 0!==d){var y=c._fullLayout._activeSelectionIndex;if(y&lt;g.length)switch(c._fullLayout.selections[y].type){case""rect"":m=""select"";break;case""path"":m=""lasso""}}var v</t>
  </si>
  <si>
    <t>x=o(a</t>
  </si>
  <si>
    <t>_={xref:f._id</t>
  </si>
  <si>
    <t>yref:p._id</t>
  </si>
  <si>
    <t>opacity:u.opacity</t>
  </si>
  <si>
    <t>line:{color:u.line.color</t>
  </si>
  <si>
    <t>width:u.line.width</t>
  </si>
  <si>
    <t>dash:u.line.dash}};1===x.length&amp;&amp;(v=x[0])</t>
  </si>
  <si>
    <t>v&amp;&amp;5===v.length&amp;&amp;""select""===m?(_.type=""rect""</t>
  </si>
  <si>
    <t>_.x0=v[0][1]</t>
  </si>
  <si>
    <t>_.y0=v[0][2]</t>
  </si>
  <si>
    <t>_.x1=v[2][1]</t>
  </si>
  <si>
    <t>_.y1=v[2][2]):(_.type=""path""</t>
  </si>
  <si>
    <t>f&amp;&amp;p&amp;&amp;l(x</t>
  </si>
  <si>
    <t>_.path=s(x)</t>
  </si>
  <si>
    <t>v=null)</t>
  </si>
  <si>
    <t>i(c);for(var b=e.editHelpers</t>
  </si>
  <si>
    <t>w=(b||{}).modifyItem</t>
  </si>
  <si>
    <t>T=[]</t>
  </si>
  <si>
    <t>k=0;k&lt;g.length;k++){var A=c._fullLayout.selections[k];if(A){if(T[k]=A._input</t>
  </si>
  <si>
    <t>void 0!==d&amp;&amp;k===c._fullLayout._activeSelectionIndex){var M=_;switch(A.type){case""rect"":w(""x0""</t>
  </si>
  <si>
    <t>M.x0)</t>
  </si>
  <si>
    <t>w(""x1""</t>
  </si>
  <si>
    <t>M.x1)</t>
  </si>
  <si>
    <t>w(""y0""</t>
  </si>
  <si>
    <t>M.y0)</t>
  </si>
  <si>
    <t>w(""y1""</t>
  </si>
  <si>
    <t>M.y1);break;case""path"":w(""path""</t>
  </si>
  <si>
    <t>M.path)}}}else T[k]=A}return void 0===d?(T.push(_)</t>
  </si>
  <si>
    <t>T):b?b.getUpdateObj():{}}}}}</t>
  </si>
  <si>
    <t>49801:function(t</t>
  </si>
  <si>
    <t>r){""use strict"";var n=r(34809).strTranslate;function i(t</t>
  </si>
  <si>
    <t>e){switch(t.type){case""log"":return t.p2d(e);case""date"":return t.p2r(e</t>
  </si>
  <si>
    <t>t.calendar);default:return t.p2r(e)}}t.exports={p2r:i</t>
  </si>
  <si>
    <t>r2p:function(t</t>
  </si>
  <si>
    <t>e){switch(t.type){case""log"":return t.d2p(e);case""date"":return t.r2p(e</t>
  </si>
  <si>
    <t>t.calendar);default:return t.r2p(e)}}</t>
  </si>
  <si>
    <t>axValue:function(t){var e=""y""===t._id.charAt(0)?1:0;return function(r){return i(t</t>
  </si>
  <si>
    <t>r[e])}}</t>
  </si>
  <si>
    <t>getTransform:function(t){return n(t.xaxis._offset</t>
  </si>
  <si>
    <t>t.yaxis._offset)}}}</t>
  </si>
  <si>
    <t>44844:function(t</t>
  </si>
  <si>
    <t>r){""use strict"";var n=r(7028)</t>
  </si>
  <si>
    <t>i=r(88666);t.exports={moduleType:""component""</t>
  </si>
  <si>
    <t>name:""selections""</t>
  </si>
  <si>
    <t>layoutAttributes:r(4327)</t>
  </si>
  <si>
    <t>supplyLayoutDefaults:r(2272)</t>
  </si>
  <si>
    <t>supplyDrawNewSelectionDefaults:r(43028)</t>
  </si>
  <si>
    <t>includeBasePlot:r(20706)(""selections"")</t>
  </si>
  <si>
    <t>draw:n.draw</t>
  </si>
  <si>
    <t>drawOne:n.drawOne</t>
  </si>
  <si>
    <t>reselect:i.reselect</t>
  </si>
  <si>
    <t>prepSelect:i.prepSelect</t>
  </si>
  <si>
    <t>clearOutline:i.clearOutline</t>
  </si>
  <si>
    <t>clearSelectionsCache:i.clearSelectionsCache</t>
  </si>
  <si>
    <t>selectOnClick:i.selectOnClick}}</t>
  </si>
  <si>
    <t>88666:function(t</t>
  </si>
  <si>
    <t>r){""use strict"";var n=r(11516)</t>
  </si>
  <si>
    <t>i=r(52773)</t>
  </si>
  <si>
    <t>o=r(62203).dashStyle</t>
  </si>
  <si>
    <t>l=r(32141)</t>
  </si>
  <si>
    <t>c=r(36040).makeEventData</t>
  </si>
  <si>
    <t>u=r(70414)</t>
  </si>
  <si>
    <t>h=u.freeMode</t>
  </si>
  <si>
    <t>f=u.rectMode</t>
  </si>
  <si>
    <t>p=u.drawMode</t>
  </si>
  <si>
    <t>d=u.openMode</t>
  </si>
  <si>
    <t>m=u.selectMode</t>
  </si>
  <si>
    <t>g=r(49728)</t>
  </si>
  <si>
    <t>y=r(2956)</t>
  </si>
  <si>
    <t>v=r(561)</t>
  </si>
  <si>
    <t>x=r(78534).clearOutline</t>
  </si>
  <si>
    <t>_=r(81055)</t>
  </si>
  <si>
    <t>b=_.handleEllipse</t>
  </si>
  <si>
    <t>w=_.readPaths</t>
  </si>
  <si>
    <t>T=r(87562).newShapes</t>
  </si>
  <si>
    <t>k=r(51817)</t>
  </si>
  <si>
    <t>A=r(7028).activateLastSelection</t>
  </si>
  <si>
    <t>M=r(34809)</t>
  </si>
  <si>
    <t>S=M.sorterAsc</t>
  </si>
  <si>
    <t>E=r(80899)</t>
  </si>
  <si>
    <t>C=r(64025)</t>
  </si>
  <si>
    <t>L=r(5975).getFromId</t>
  </si>
  <si>
    <t>I=r(34823)</t>
  </si>
  <si>
    <t>P=r(71817).redrawReglTraces</t>
  </si>
  <si>
    <t>z=r(78865)</t>
  </si>
  <si>
    <t>O=z.MINSELECT</t>
  </si>
  <si>
    <t>D=E.filter</t>
  </si>
  <si>
    <t>R=E.tester</t>
  </si>
  <si>
    <t>F=r(49801)</t>
  </si>
  <si>
    <t>B=F.p2r</t>
  </si>
  <si>
    <t>N=F.axValue</t>
  </si>
  <si>
    <t>j=F.getTransform;function U(t){return void 0!==t.subplot}function V(t</t>
  </si>
  <si>
    <t>o){var s</t>
  </si>
  <si>
    <t>y=e._hoverdata</t>
  </si>
  <si>
    <t>x=e._fullLayout.clickmode.indexOf(""event"")&gt;-1</t>
  </si>
  <si>
    <t>_=[];if(function(t){return t&amp;&amp;Array.isArray(t)&amp;&amp;!0!==t[0].hoverOnBox}(y)){Z(t</t>
  </si>
  <si>
    <t>a);var b=function(t</t>
  </si>
  <si>
    <t>i=t[0]</t>
  </si>
  <si>
    <t>a=-1</t>
  </si>
  <si>
    <t>o=[];for(n=0;n&lt;e.length;n++)if(r=e[n]</t>
  </si>
  <si>
    <t>i.fullData._expandedIndex===r.cd[0].trace._expandedIndex){if(!0===i.hoverOnBox)break;void 0!==i.pointNumber?a=i.pointNumber:void 0!==i.binNumber&amp;&amp;(a=i.binNumber</t>
  </si>
  <si>
    <t>o=i.pointNumbers);break}return{pointNumber:a</t>
  </si>
  <si>
    <t>pointNumbers:o</t>
  </si>
  <si>
    <t>searchInfo:r}}(y</t>
  </si>
  <si>
    <t>s=X(e</t>
  </si>
  <si>
    <t>i));if(b.pointNumbers.length&gt;0?function(t</t>
  </si>
  <si>
    <t>a=[];for(i=0;i&lt;t.length;i++)(r=t[i]).cd[0].trace.selectedpoints&amp;&amp;r.cd[0].trace.selectedpoints.length&gt;0&amp;&amp;a.push(r);if(1===a.length&amp;&amp;a[0]===e.searchInfo&amp;&amp;(n=e.searchInfo.cd[0].trace).selectedpoints.length===e.pointNumbers.length){for(i=0;i&lt;e.pointNumbers.length;i++)if(n.selectedpoints.indexOf(e.pointNumbers[i])&lt;0)return!1;return!0}return!1}(s</t>
  </si>
  <si>
    <t>b):function(t){var e</t>
  </si>
  <si>
    <t>n=0;for(r=0;r&lt;t.length;r++)if((e=t[r].cd[0].trace).selectedpoints){if(e.selectedpoints.length&gt;1)return!1;if((n+=e.selectedpoints.length)&gt;1)return!1}return 1===n}(s)&amp;&amp;(f=J(b))){for(o&amp;&amp;o.remove()</t>
  </si>
  <si>
    <t>g=0;g&lt;s.length;g++)(l=s[g])._module.selectPoints(l</t>
  </si>
  <si>
    <t>!1);K(e</t>
  </si>
  <si>
    <t>W(a)</t>
  </si>
  <si>
    <t>x&amp;&amp;ft(e)}else{for(p=t.shiftKey&amp;&amp;(void 0!==f?f:J(b))</t>
  </si>
  <si>
    <t>c=function(t</t>
  </si>
  <si>
    <t>r){return{pointNumber:t</t>
  </si>
  <si>
    <t>searchInfo:e</t>
  </si>
  <si>
    <t>subtract:!!r}}(b.pointNumber</t>
  </si>
  <si>
    <t>b.searchInfo</t>
  </si>
  <si>
    <t>u=G(a.selectionDefs.concat([c]))</t>
  </si>
  <si>
    <t>g=0;g&lt;s.length;g++)if(h=tt(s[g]._module.selectPoints(s[g]</t>
  </si>
  <si>
    <t>s[g])</t>
  </si>
  <si>
    <t>_.length)for(var w=0;w&lt;h.length;w++)_.push(h[w]);else _=h;if(K(e</t>
  </si>
  <si>
    <t>m={points:_})</t>
  </si>
  <si>
    <t>c&amp;&amp;a&amp;&amp;a.selectionDefs.push(c)</t>
  </si>
  <si>
    <t>o){var T=a.mergedPolygons</t>
  </si>
  <si>
    <t>k=d(a.dragmode);v(et(T</t>
  </si>
  <si>
    <t>a)}x&amp;&amp;ht(e</t>
  </si>
  <si>
    <t>m)}}}function q(t){return""pointNumber""in t&amp;&amp;""searchInfo""in t}function H(t){return{xmin:0</t>
  </si>
  <si>
    <t>xmax:0</t>
  </si>
  <si>
    <t>ymin:0</t>
  </si>
  <si>
    <t>ymax:0</t>
  </si>
  <si>
    <t>pts:[]</t>
  </si>
  <si>
    <t>contains:function(e</t>
  </si>
  <si>
    <t>i){var a=t.searchInfo.cd[0].trace._expandedIndex;return i.cd[0].trace._expandedIndex===a&amp;&amp;n===t.pointNumber}</t>
  </si>
  <si>
    <t>isRect:!1</t>
  </si>
  <si>
    <t>degenerate:!1</t>
  </si>
  <si>
    <t>subtract:!!t.subtract}}function G(t){if(t.length){for(var e=[]</t>
  </si>
  <si>
    <t>r=q(t[0])?0:t[0][0][0]</t>
  </si>
  <si>
    <t>n=r</t>
  </si>
  <si>
    <t>i=q(t[0])?0:t[0][0][1]</t>
  </si>
  <si>
    <t>a=i</t>
  </si>
  <si>
    <t>o=0;o&lt;t.length;o++)if(q(t[o]))e.push(H(t[o]));else{var s=R(t[o]);s.subtract=!!t[o].subtract</t>
  </si>
  <si>
    <t>e.push(s)</t>
  </si>
  <si>
    <t>r=Math.min(r</t>
  </si>
  <si>
    <t>s.xmin)</t>
  </si>
  <si>
    <t>n=Math.max(n</t>
  </si>
  <si>
    <t>s.xmax)</t>
  </si>
  <si>
    <t>i=Math.min(i</t>
  </si>
  <si>
    <t>s.ymin)</t>
  </si>
  <si>
    <t>a=Math.max(a</t>
  </si>
  <si>
    <t>s.ymax)}return{xmin:r</t>
  </si>
  <si>
    <t>xmax:n</t>
  </si>
  <si>
    <t>ymin:i</t>
  </si>
  <si>
    <t>ymax:a</t>
  </si>
  <si>
    <t>contains:function(t</t>
  </si>
  <si>
    <t>i){for(var a=!1</t>
  </si>
  <si>
    <t>o=0;o&lt;e.length;o++)e[o].contains(t</t>
  </si>
  <si>
    <t>i)&amp;&amp;(a=!e[o].subtract);return a}</t>
  </si>
  <si>
    <t>degenerate:!1}}}function Z(t</t>
  </si>
  <si>
    <t>r){var n=e._fullLayout</t>
  </si>
  <si>
    <t>i=r.plotinfo</t>
  </si>
  <si>
    <t>a=r.dragmode</t>
  </si>
  <si>
    <t>o=n._lastSelectedSubplot&amp;&amp;n._lastSelectedSubplot===i.id</t>
  </si>
  <si>
    <t>s=(t.shiftKey||t.altKey)&amp;&amp;!(p(a)&amp;&amp;d(a));o&amp;&amp;s&amp;&amp;i.selection&amp;&amp;i.selection.selectionDefs&amp;&amp;!r.selectionDefs?(r.selectionDefs=i.selection.selectionDefs</t>
  </si>
  <si>
    <t>r.mergedPolygons=i.selection.mergedPolygons):s&amp;&amp;i.selection||W(r)</t>
  </si>
  <si>
    <t>o||(x(e)</t>
  </si>
  <si>
    <t>n._lastSelectedSubplot=i.id)}function W(t</t>
  </si>
  <si>
    <t>e){var r=t.dragmode</t>
  </si>
  <si>
    <t>n=t.plotinfo</t>
  </si>
  <si>
    <t>i=t.gd;(function(t){return t._fullLayout._activeShapeIndex&gt;=0})(i)&amp;&amp;i._fullLayout._deactivateShape(i)</t>
  </si>
  <si>
    <t>function(t){return t._fullLayout._activeSelectionIndex&gt;=0}(i)&amp;&amp;i._fullLayout._deactivateSelection(i);var o=i._fullLayout._zoomlayer</t>
  </si>
  <si>
    <t>s=p(r)</t>
  </si>
  <si>
    <t>l=m(r);if(s||l){var c</t>
  </si>
  <si>
    <t>h=o.selectAll("".select-outline-""+n.id);h&amp;&amp;i._fullLayout._outlining&amp;&amp;(s&amp;&amp;(c=T(h</t>
  </si>
  <si>
    <t>t))</t>
  </si>
  <si>
    <t>c&amp;&amp;a.call(""_guiRelayout""</t>
  </si>
  <si>
    <t>{shapes:c})</t>
  </si>
  <si>
    <t>l&amp;&amp;!U(t)&amp;&amp;(u=k(h</t>
  </si>
  <si>
    <t>u&amp;&amp;(i._fullLayout._noEmitSelectedAtStart=!0</t>
  </si>
  <si>
    <t>a.call(""_guiRelayout""</t>
  </si>
  <si>
    <t>{selections:u}).then((function(){e&amp;&amp;A(i)})))</t>
  </si>
  <si>
    <t>i._fullLayout._outlining=!1)}n.selection={}</t>
  </si>
  <si>
    <t>n.selection.selectionDefs=t.selectionDefs=[]</t>
  </si>
  <si>
    <t>n.selection.mergedPolygons=t.mergedPolygons=[]}function Y(t){return t._id}function X(t</t>
  </si>
  <si>
    <t>n){if(!t.calcdata)return[];var i</t>
  </si>
  <si>
    <t>l=e.map(Y)</t>
  </si>
  <si>
    <t>c=r.map(Y);for(o=0;o&lt;t.calcdata.length;o++)if(!0===(a=(i=t.calcdata[o])[0].trace).visible&amp;&amp;a._module&amp;&amp;a._module.selectPoints)if(!U({subplot:n})||a.subplot!==n&amp;&amp;a.geo!==n)if(""splom""===a.type){if(a._xaxes[l[0]]&amp;&amp;a._yaxes[c[0]]){var u=$(a._module</t>
  </si>
  <si>
    <t>e[0]</t>
  </si>
  <si>
    <t>r[0]);u.scene=t._fullLayout._splomScenes[a.uid]</t>
  </si>
  <si>
    <t>s.push(u)}}else if(""sankey""===a.type){var h=$(a._module</t>
  </si>
  <si>
    <t>r[0]);s.push(h)}else{if(!(-1!==l.indexOf(a.xaxis)||a._xA&amp;&amp;a._xA.overlaying))continue;if(!(-1!==c.indexOf(a.yaxis)||a._yA&amp;&amp;a._yA.overlaying))continue;s.push($(a._module</t>
  </si>
  <si>
    <t>L(t</t>
  </si>
  <si>
    <t>a.xaxis)</t>
  </si>
  <si>
    <t>a.yaxis)))}else s.push($(a._module</t>
  </si>
  <si>
    <t>r[0]));return s}function $(t</t>
  </si>
  <si>
    <t>n){return{_module:t</t>
  </si>
  <si>
    <t>cd:e</t>
  </si>
  <si>
    <t>xaxis:r</t>
  </si>
  <si>
    <t>yaxis:n}}function J(t){var e=t.searchInfo.cd[0].trace</t>
  </si>
  <si>
    <t>r=t.pointNumber</t>
  </si>
  <si>
    <t>n=t.pointNumbers</t>
  </si>
  <si>
    <t>i=n.length&gt;0?n[0]:r;return!!e.selectedpoints&amp;&amp;e.selectedpoints.indexOf(i)&gt;-1}function K(t</t>
  </si>
  <si>
    <t>i;for(n=0;n&lt;e.length;n++){var o=e[n].cd[0].trace._fullInput</t>
  </si>
  <si>
    <t>s=t._fullLayout._tracePreGUI[o.uid]||{};void 0===s.selectedpoints&amp;&amp;(s.selectedpoints=o._input.selectedpoints||null)}if(r){var l=r.points||[];for(n=0;n&lt;e.length;n++)(i=e[n].cd[0].trace)._input.selectedpoints=i._fullInput.selectedpoints=[]</t>
  </si>
  <si>
    <t>i._fullInput!==i&amp;&amp;(i.selectedpoints=[]);for(var c=0;c&lt;l.length;c++){var u=l[c]</t>
  </si>
  <si>
    <t>h=u.data</t>
  </si>
  <si>
    <t>f=u.fullData</t>
  </si>
  <si>
    <t>p=u.pointIndex</t>
  </si>
  <si>
    <t>d=u.pointIndices;d?([].push.apply(h.selectedpoints</t>
  </si>
  <si>
    <t>i._fullInput!==i&amp;&amp;[].push.apply(f.selectedpoints</t>
  </si>
  <si>
    <t>d)):(h.selectedpoints.push(p)</t>
  </si>
  <si>
    <t>i._fullInput!==i&amp;&amp;f.selectedpoints.push(p))}}else for(n=0;n&lt;e.length;n++)delete(i=e[n].cd[0].trace).selectedpoints</t>
  </si>
  <si>
    <t>delete i._input.selectedpoints</t>
  </si>
  <si>
    <t>i._fullInput!==i&amp;&amp;delete i._fullInput.selectedpoints;!function(t</t>
  </si>
  <si>
    <t>e){for(var r=!1</t>
  </si>
  <si>
    <t>n=0;n&lt;e.length;n++){var i=e[n]</t>
  </si>
  <si>
    <t>o=i.cd;a.traceIs(o[0].trace</t>
  </si>
  <si>
    <t>regl"")&amp;&amp;(r=!0);var s=i._module</t>
  </si>
  <si>
    <t>l=s.styleOnSelect||s.style;l&amp;&amp;(l(t</t>
  </si>
  <si>
    <t>o[0].node3)</t>
  </si>
  <si>
    <t>o[0].nodeRangePlot3&amp;&amp;l(t</t>
  </si>
  <si>
    <t>o[0].nodeRangePlot3))}r&amp;&amp;(I(t)</t>
  </si>
  <si>
    <t>P(t))}(t</t>
  </si>
  <si>
    <t>e)}function Q(t</t>
  </si>
  <si>
    <t>r){for(var i=(r?n.difference:n.union)({regions:t}</t>
  </si>
  <si>
    <t>{regions:[e]}).regions.reverse()</t>
  </si>
  <si>
    <t>a=0;a&lt;i.length;a++){var o=i[a];o.subtract=st(o</t>
  </si>
  <si>
    <t>i.slice(0</t>
  </si>
  <si>
    <t>a))}return i}function tt(t</t>
  </si>
  <si>
    <t>e){if(Array.isArray(t))for(var r=e.cd</t>
  </si>
  <si>
    <t>n=e.cd[0].trace</t>
  </si>
  <si>
    <t>i=0;i&lt;t.length;i++)t[i]=c(t[i]</t>
  </si>
  <si>
    <t>r);return t}function et(t</t>
  </si>
  <si>
    <t>n=0;n&lt;t.length;n++){r[n]=[];for(var i=0;i&lt;t[n].length;i++){r[n][i]=[]</t>
  </si>
  <si>
    <t>r[n][i][0]=i?""L"":""M"";for(var a=0;a&lt;t[n][i].length;a++)r[n][i].push(t[n][i][a])}e||r[n].push([""Z""</t>
  </si>
  <si>
    <t>r[n][0][1]</t>
  </si>
  <si>
    <t>r[n][0][2]])}return r}function rt(t</t>
  </si>
  <si>
    <t>e){for(var r</t>
  </si>
  <si>
    <t>o=0;o&lt;e.length;o++){var s=e[o];n=s._module.selectPoints(s</t>
  </si>
  <si>
    <t>a.push(n)</t>
  </si>
  <si>
    <t>r=tt(n</t>
  </si>
  <si>
    <t>i=i.concat(r)}return i}function nt(t</t>
  </si>
  <si>
    <t>l=!!n;i&amp;&amp;(a=i.plotinfo</t>
  </si>
  <si>
    <t>o=i.xaxes[0]._id</t>
  </si>
  <si>
    <t>s=i.yaxes[0]._id);var c=[]</t>
  </si>
  <si>
    <t>u=[]</t>
  </si>
  <si>
    <t>h=ot(t)</t>
  </si>
  <si>
    <t>f=t._fullLayout;if(a){var d=f._zoomlayer</t>
  </si>
  <si>
    <t>g=f.dragmode</t>
  </si>
  <si>
    <t>y=p(g)</t>
  </si>
  <si>
    <t>v=m(g);if(y||v){var x=L(t</t>
  </si>
  <si>
    <t>_=L(t</t>
  </si>
  <si>
    <t>y"");if(x&amp;&amp;_){var b=d.selectAll("".select-outline-""+a.id);if(b&amp;&amp;t._fullLayout._outlining&amp;&amp;b.length){for(var T=b[0][0].getAttribute(""d"")</t>
  </si>
  <si>
    <t>k=w(T</t>
  </si>
  <si>
    <t>A=[]</t>
  </si>
  <si>
    <t>M=0;M&lt;k.length;M++){for(var S=k[M]</t>
  </si>
  <si>
    <t>C=0;C&lt;S.length;C++)E.push([lt(x</t>
  </si>
  <si>
    <t>S[C][1])</t>
  </si>
  <si>
    <t>lt(_</t>
  </si>
  <si>
    <t>S[C][2])]);E.xref=o</t>
  </si>
  <si>
    <t>E.yref=s</t>
  </si>
  <si>
    <t>E.subtract=st(E</t>
  </si>
  <si>
    <t>A)</t>
  </si>
  <si>
    <t>A.push(E)}h=h.concat(A)}}}}var I=o&amp;&amp;s?[o+s]:f._subplots.cartesian;!function(t){var e=t.calcdata;if(e)for(var r=0;r&lt;e.length;r++){var n=e[r][0].trace</t>
  </si>
  <si>
    <t>i=t._fullLayout._splomScenes;if(i){var a=i[n.uid];a&amp;&amp;(a.selectBatch=[])}}}(t);for(var P={}</t>
  </si>
  <si>
    <t>z=0;z&lt;I.length;z++){var O=I[z]</t>
  </si>
  <si>
    <t>D=O.indexOf(""y"")</t>
  </si>
  <si>
    <t>R=O.slice(0</t>
  </si>
  <si>
    <t>F=O.slice(D)</t>
  </si>
  <si>
    <t>B=o&amp;&amp;s?r:void 0;if(B=at(h</t>
  </si>
  <si>
    <t>B)){var N=n;if(!l){var j=L(t</t>
  </si>
  <si>
    <t>U=L(t</t>
  </si>
  <si>
    <t>y"");N=X(t</t>
  </si>
  <si>
    <t>[j]</t>
  </si>
  <si>
    <t>[U]</t>
  </si>
  <si>
    <t>O);for(var V=0;V&lt;N.length;V++){var q=N[V]</t>
  </si>
  <si>
    <t>H=q.cd[0]</t>
  </si>
  <si>
    <t>G=H.trace;if(""scattergl""===q._module.name&amp;&amp;!H.t.xpx){var Z=G.x</t>
  </si>
  <si>
    <t>W=G.y</t>
  </si>
  <si>
    <t>Y=G._length;H.t.xpx=[]</t>
  </si>
  <si>
    <t>H.t.ypx=[];for(var $=0;$&lt;Y;$++)H.t.xpx[$]=j.c2p(Z[$])</t>
  </si>
  <si>
    <t>H.t.ypx[$]=U.c2p(W[$])}""splom""===q._module.name&amp;&amp;(P[G.uid]||(P[G.uid]=!0))}}var J=rt(B</t>
  </si>
  <si>
    <t>N);c=c.concat(J)</t>
  </si>
  <si>
    <t>u=u.concat(N)}}var Q={points:c};K(t</t>
  </si>
  <si>
    <t>Q);var tt=f.clickmode.indexOf(""event"")&gt;-1&amp;&amp;e;if(!a&amp;&amp;e){var et=ot(t</t>
  </si>
  <si>
    <t>!0);if(et.length){var nt=et[0].xref</t>
  </si>
  <si>
    <t>pt=et[0].yref;if(nt&amp;&amp;pt){var dt=ct(et);ut([L(t</t>
  </si>
  <si>
    <t>nt</t>
  </si>
  <si>
    <t>y"")])(Q</t>
  </si>
  <si>
    <t>dt)}}t._fullLayout._noEmitSelectedAtStart?t._fullLayout._noEmitSelectedAtStart=!1:tt&amp;&amp;ht(t</t>
  </si>
  <si>
    <t>Q)</t>
  </si>
  <si>
    <t>f._reselect=!1}if(!a&amp;&amp;f._deselect){var mt=f._deselect;(function(t</t>
  </si>
  <si>
    <t>r){for(var n=0;n&lt;r.length;n++){var i=r[n];if(i.xaxis&amp;&amp;i.xaxis._id===t&amp;&amp;i.yaxis&amp;&amp;i.yaxis._id===e)return!0}return!1})(o=mt.xref</t>
  </si>
  <si>
    <t>s=mt.yref</t>
  </si>
  <si>
    <t>u)||it(t</t>
  </si>
  <si>
    <t>tt&amp;&amp;(Q.points.length?ht(t</t>
  </si>
  <si>
    <t>Q):ft(t))</t>
  </si>
  <si>
    <t>f._deselect=!1}return{eventData:Q</t>
  </si>
  <si>
    <t>selectionTesters:r}}function it(t</t>
  </si>
  <si>
    <t>n){n=X(t</t>
  </si>
  <si>
    <t>[L(t</t>
  </si>
  <si>
    <t>x"")]</t>
  </si>
  <si>
    <t>y"")]</t>
  </si>
  <si>
    <t>e+r);for(var i=0;i&lt;n.length;i++){var a=n[i];a._module.selectPoints(a</t>
  </si>
  <si>
    <t>!1)}K(t</t>
  </si>
  <si>
    <t>n)}function at(t</t>
  </si>
  <si>
    <t>n){for(var i</t>
  </si>
  <si>
    <t>a=0;a&lt;t.length;a++){var o=t[a];e===o.xref&amp;&amp;r===o.yref&amp;&amp;(i?n=G(i=Q(i</t>
  </si>
  <si>
    <t>!!o.subtract)):(i=[o]</t>
  </si>
  <si>
    <t>n=R(o)))}return n}function ot(t</t>
  </si>
  <si>
    <t>n=t._fullLayout</t>
  </si>
  <si>
    <t>i=n.selections</t>
  </si>
  <si>
    <t>o=0;o&lt;a;o++)if(!e||o===n._activeSelectionIndex){var s=i[o];if(s){var l</t>
  </si>
  <si>
    <t>p=s.xref</t>
  </si>
  <si>
    <t>d=s.yref</t>
  </si>
  <si>
    <t>m=L(t</t>
  </si>
  <si>
    <t>v=L(t</t>
  </si>
  <si>
    <t>y"");if(""rect""===s.type){f=[];var x=lt(m</t>
  </si>
  <si>
    <t>s.x0)</t>
  </si>
  <si>
    <t>_=lt(m</t>
  </si>
  <si>
    <t>s.x1)</t>
  </si>
  <si>
    <t>b=lt(v</t>
  </si>
  <si>
    <t>s.y0)</t>
  </si>
  <si>
    <t>w=lt(v</t>
  </si>
  <si>
    <t>s.y1);f=[[x</t>
  </si>
  <si>
    <t>b]</t>
  </si>
  <si>
    <t>[x</t>
  </si>
  <si>
    <t>w]</t>
  </si>
  <si>
    <t>[_</t>
  </si>
  <si>
    <t>b]]</t>
  </si>
  <si>
    <t>l=Math.min(x</t>
  </si>
  <si>
    <t>c=Math.max(x</t>
  </si>
  <si>
    <t>u=Math.min(b</t>
  </si>
  <si>
    <t>h=Math.max(b</t>
  </si>
  <si>
    <t>f.xmin=l</t>
  </si>
  <si>
    <t>f.xmax=c</t>
  </si>
  <si>
    <t>f.ymin=u</t>
  </si>
  <si>
    <t>f.ymax=h</t>
  </si>
  <si>
    <t>f.xref=p</t>
  </si>
  <si>
    <t>f.yref=d</t>
  </si>
  <si>
    <t>f.subtract=!1</t>
  </si>
  <si>
    <t>f.isRect=!0</t>
  </si>
  <si>
    <t>r.push(f)}else if(""path""===s.type)for(var T=s.path.split(""Z"")</t>
  </si>
  <si>
    <t>k=[]</t>
  </si>
  <si>
    <t>A=0;A&lt;T.length;A++){var M=T[A];if(M){M+=""Z"";var S=g.extractPathCoords(M</t>
  </si>
  <si>
    <t>y.paramIsX</t>
  </si>
  <si>
    <t>raw"")</t>
  </si>
  <si>
    <t>E=g.extractPathCoords(M</t>
  </si>
  <si>
    <t>y.paramIsY</t>
  </si>
  <si>
    <t>raw"");l=1/0</t>
  </si>
  <si>
    <t>c=-1/0</t>
  </si>
  <si>
    <t>u=1/0</t>
  </si>
  <si>
    <t>h=-1/0</t>
  </si>
  <si>
    <t>f=[];for(var C=0;C&lt;S.length;C++){var I=lt(m</t>
  </si>
  <si>
    <t>S[C])</t>
  </si>
  <si>
    <t>P=lt(v</t>
  </si>
  <si>
    <t>E[C]);f.push([I</t>
  </si>
  <si>
    <t>P])</t>
  </si>
  <si>
    <t>l=Math.min(I</t>
  </si>
  <si>
    <t>c=Math.max(I</t>
  </si>
  <si>
    <t>u=Math.min(P</t>
  </si>
  <si>
    <t>h=Math.max(P</t>
  </si>
  <si>
    <t>h)}f.xmin=l</t>
  </si>
  <si>
    <t>f.subtract=st(f</t>
  </si>
  <si>
    <t>k.push(f)</t>
  </si>
  <si>
    <t>r.push(f)}}}}return r}function st(t</t>
  </si>
  <si>
    <t>n=0;n&lt;e.length;n++)for(var a=e[n]</t>
  </si>
  <si>
    <t>o=0;o&lt;t.length;o++)if(i(t[o]</t>
  </si>
  <si>
    <t>a)){r=!r;break}return r}function lt(t</t>
  </si>
  <si>
    <t>e){return""date""===t.type&amp;&amp;(e=e.replace(""_""</t>
  </si>
  <si>
    <t xml:space="preserve"> ""))</t>
  </si>
  <si>
    <t>log""===t.type?t.c2p(e):t.r2p(e</t>
  </si>
  <si>
    <t>t.calendar)}function ct(t){for(var e=t.length</t>
  </si>
  <si>
    <t>n=0;n&lt;e;n++){var i=t[n];r=(r=r.concat(i)).concat([i[0]])}return(a=r).isRect=5===a.length&amp;&amp;a[0][0]===a[4][0]&amp;&amp;a[0][1]===a[4][1]&amp;&amp;a[0][0]===a[1][0]&amp;&amp;a[2][0]===a[3][0]&amp;&amp;a[0][1]===a[3][1]&amp;&amp;a[1][1]===a[2][1]||a[0][1]===a[1][1]&amp;&amp;a[2][1]===a[3][1]&amp;&amp;a[0][0]===a[3][0]&amp;&amp;a[1][0]===a[2][0]</t>
  </si>
  <si>
    <t>a.isRect&amp;&amp;(a.xmin=Math.min(a[0][0]</t>
  </si>
  <si>
    <t>a[2][0])</t>
  </si>
  <si>
    <t>a.xmax=Math.max(a[0][0]</t>
  </si>
  <si>
    <t>a.ymin=Math.min(a[0][1]</t>
  </si>
  <si>
    <t>a[2][1])</t>
  </si>
  <si>
    <t>a.ymax=Math.max(a[0][1]</t>
  </si>
  <si>
    <t>a[2][1]))</t>
  </si>
  <si>
    <t>a;var a}function ut(t){return function(e</t>
  </si>
  <si>
    <t>a=0;a&lt;t.length;a++){var o=t[a]</t>
  </si>
  <si>
    <t>s=o._id</t>
  </si>
  <si>
    <t>l=s.charAt(0);if(r.isRect){n||(n={});var c=r[l+""min""]</t>
  </si>
  <si>
    <t>u=r[l+""max""];void 0!==c&amp;&amp;void 0!==u&amp;&amp;(n[s]=[B(o</t>
  </si>
  <si>
    <t>B(o</t>
  </si>
  <si>
    <t>u)].sort(S))}else i||(i={})</t>
  </si>
  <si>
    <t>i[s]=r.map(N(o))}n&amp;&amp;(e.range=n)</t>
  </si>
  <si>
    <t>i&amp;&amp;(e.lassoPoints=i)}}function ht(t</t>
  </si>
  <si>
    <t>e){e&amp;&amp;(e.selections=(t.layout||{}).selections||[])</t>
  </si>
  <si>
    <t>t.emit(""plotly_selected""</t>
  </si>
  <si>
    <t>e)}function ft(t){t.emit(""plotly_deselect""</t>
  </si>
  <si>
    <t>null)}t.exports={reselect:nt</t>
  </si>
  <si>
    <t>prepSelect:function(t</t>
  </si>
  <si>
    <t>i){var c=!U(n)</t>
  </si>
  <si>
    <t>u=h(i)</t>
  </si>
  <si>
    <t>g=f(i)</t>
  </si>
  <si>
    <t>y=d(i)</t>
  </si>
  <si>
    <t>x=p(i)</t>
  </si>
  <si>
    <t>_=m(i)</t>
  </si>
  <si>
    <t>w=""drawcircle""===i</t>
  </si>
  <si>
    <t>T=""drawline""===i||w</t>
  </si>
  <si>
    <t>k=n.gd</t>
  </si>
  <si>
    <t>A=k._fullLayout</t>
  </si>
  <si>
    <t>S=_&amp;&amp;""immediate""===A.newselection.mode&amp;&amp;c</t>
  </si>
  <si>
    <t>E=A._zoomlayer</t>
  </si>
  <si>
    <t>L=n.element.getBoundingClientRect()</t>
  </si>
  <si>
    <t>I=n.plotinfo</t>
  </si>
  <si>
    <t>P=j(I)</t>
  </si>
  <si>
    <t>F=e-L.left</t>
  </si>
  <si>
    <t>B=r-L.top;A._calcInverseTransform(k);var N=M.apply3DTransform(A._invTransform)(F</t>
  </si>
  <si>
    <t>B);F=N[0]</t>
  </si>
  <si>
    <t>B=N[1];var q</t>
  </si>
  <si>
    <t>H</t>
  </si>
  <si>
    <t>tt</t>
  </si>
  <si>
    <t>ot=A._invScaleX</t>
  </si>
  <si>
    <t>st=A._invScaleY</t>
  </si>
  <si>
    <t>lt=F</t>
  </si>
  <si>
    <t>pt=B</t>
  </si>
  <si>
    <t>dt=""M""+F+""</t>
  </si>
  <si>
    <t>mt=n.xaxes[0]</t>
  </si>
  <si>
    <t>gt=n.yaxes[0]</t>
  </si>
  <si>
    <t>yt=mt._length</t>
  </si>
  <si>
    <t>vt=gt._length</t>
  </si>
  <si>
    <t>xt=t.altKey&amp;&amp;!(p(i)&amp;&amp;y);Z(t</t>
  </si>
  <si>
    <t>u&amp;&amp;(q=D([[F</t>
  </si>
  <si>
    <t>B]]</t>
  </si>
  <si>
    <t>z.BENDPX));var _t=E.selectAll(""path.select-outline-""+I.id).data([1])</t>
  </si>
  <si>
    <t>bt=x?A.newshape:A.newselection;x&amp;&amp;(n.hasText=bt.label.text||bt.label.texttemplate);var wt=x&amp;&amp;!y?bt.fillcolor:""rgba(0</t>
  </si>
  <si>
    <t>Tt=bt.line.color||(c?s.contrast(k._fullLayout.plot_bgcolor):""#7f7f7f"");_t.enter().append(""path"").attr(""class""</t>
  </si>
  <si>
    <t>select-outline select-outline-""+I.id).style({opacity:x?bt.opacity/2:1</t>
  </si>
  <si>
    <t>stroke-dasharray"":o(bt.line.dash</t>
  </si>
  <si>
    <t>bt.line.width)</t>
  </si>
  <si>
    <t>stroke-width"":bt.line.width+""px""</t>
  </si>
  <si>
    <t>shape-rendering"":""crispEdges""}).call(s.stroke</t>
  </si>
  <si>
    <t>Tt).call(s.fill</t>
  </si>
  <si>
    <t>wt).attr(""fill-rule""</t>
  </si>
  <si>
    <t>evenodd"").classed(""cursor-move""</t>
  </si>
  <si>
    <t>!!x).attr(""transform""</t>
  </si>
  <si>
    <t>P).attr(""d""</t>
  </si>
  <si>
    <t>dt+""Z"");var kt=E.append(""path"").attr(""class""</t>
  </si>
  <si>
    <t>zoombox-corners"").style({fill:s.background</t>
  </si>
  <si>
    <t>stroke:s.defaultLine</t>
  </si>
  <si>
    <t>stroke-width"":1}).attr(""transform""</t>
  </si>
  <si>
    <t>0Z"");if(x&amp;&amp;n.hasText){var At=E.select("".label-temp"");At.empty()&amp;&amp;(At=E.append(""g"").classed(""label-temp""</t>
  </si>
  <si>
    <t>!0).classed(""select-outline""</t>
  </si>
  <si>
    <t>!0).style({opacity:.8}))}var Mt=A._uid+z.SELECTID</t>
  </si>
  <si>
    <t>St=[]</t>
  </si>
  <si>
    <t>Et=X(k</t>
  </si>
  <si>
    <t>n.xaxes</t>
  </si>
  <si>
    <t>n.yaxes</t>
  </si>
  <si>
    <t>n.subplot);S&amp;&amp;!t.shiftKey&amp;&amp;(n._clearSubplotSelections=function(){if(c){var t=mt._id</t>
  </si>
  <si>
    <t>e=gt._id;it(k</t>
  </si>
  <si>
    <t>Et);for(var r=(k.layout||{}).selections||[]</t>
  </si>
  <si>
    <t>i=!1</t>
  </si>
  <si>
    <t>o=0;o&lt;r.length;o++){var s=A.selections[o];s.xref!==t||s.yref!==e?n.push(r[o]):i=!0}i&amp;&amp;(k._fullLayout._noEmitSelectedAtStart=!0</t>
  </si>
  <si>
    <t>{selections:n}))}});var Ct=function(t){return t.plotinfo.fillRangeItems||ut(t.xaxes.concat(t.yaxes))}(n);n.moveFn=function(t</t>
  </si>
  <si>
    <t>e){n._clearSubplotSelections&amp;&amp;(n._clearSubplotSelections()</t>
  </si>
  <si>
    <t>n._clearSubplotSelections=void 0)</t>
  </si>
  <si>
    <t>lt=Math.max(0</t>
  </si>
  <si>
    <t>Math.min(yt</t>
  </si>
  <si>
    <t>ot*t+F))</t>
  </si>
  <si>
    <t>pt=Math.max(0</t>
  </si>
  <si>
    <t>Math.min(vt</t>
  </si>
  <si>
    <t>st*e+B));var r=Math.abs(lt-F)</t>
  </si>
  <si>
    <t>i=Math.abs(pt-B);if(g){var a</t>
  </si>
  <si>
    <t>s;if(_){var l=A.selectdirection;switch(a=""any""===l?i&lt;Math.min(.6*r</t>
  </si>
  <si>
    <t>O)?""h"":r&lt;Math.min(.6*i</t>
  </si>
  <si>
    <t>O)?""v"":""d"":l){case""h"":o=w?vt/2:0</t>
  </si>
  <si>
    <t>s=vt;break;case""v"":o=w?yt/2:0</t>
  </si>
  <si>
    <t>s=yt}}if(x)switch(A.newshape.drawdirection){case""vertical"":a=""h""</t>
  </si>
  <si>
    <t>o=w?vt/2:0</t>
  </si>
  <si>
    <t>s=vt;break;case""horizontal"":a=""v""</t>
  </si>
  <si>
    <t>o=w?yt/2:0</t>
  </si>
  <si>
    <t>s=yt;break;case""ortho"":r&lt;i?(a=""h""</t>
  </si>
  <si>
    <t>o=B</t>
  </si>
  <si>
    <t>s=pt):(a=""v""</t>
  </si>
  <si>
    <t>o=F</t>
  </si>
  <si>
    <t>s=lt);break;default:a=""d""}""h""===a?(($=T?b(w</t>
  </si>
  <si>
    <t>[lt</t>
  </si>
  <si>
    <t>o]</t>
  </si>
  <si>
    <t>s]):[[F</t>
  </si>
  <si>
    <t>[F</t>
  </si>
  <si>
    <t>s]</t>
  </si>
  <si>
    <t>o]]).xmin=T?lt:Math.min(F</t>
  </si>
  <si>
    <t>lt)</t>
  </si>
  <si>
    <t>$.xmax=T?lt:Math.max(F</t>
  </si>
  <si>
    <t>$.ymin=Math.min(o</t>
  </si>
  <si>
    <t>$.ymax=Math.max(o</t>
  </si>
  <si>
    <t>kt.attr(""d""</t>
  </si>
  <si>
    <t>M""+$.xmin+""</t>
  </si>
  <si>
    <t>+(B-O)+""h-4v""+2*O+""h4ZM""+($.xmax-1)+""</t>
  </si>
  <si>
    <t>+(B-O)+""h4v""+2*O+""h-4Z"")):""v""===a?(($=T?b(w</t>
  </si>
  <si>
    <t>[o</t>
  </si>
  <si>
    <t>pt]</t>
  </si>
  <si>
    <t>pt]):[[o</t>
  </si>
  <si>
    <t>B]</t>
  </si>
  <si>
    <t>B]]).xmin=Math.min(o</t>
  </si>
  <si>
    <t>$.xmax=Math.max(o</t>
  </si>
  <si>
    <t>$.ymin=T?pt:Math.min(B</t>
  </si>
  <si>
    <t>pt)</t>
  </si>
  <si>
    <t>$.ymax=T?pt:Math.max(B</t>
  </si>
  <si>
    <t>M""+(F-O)+""</t>
  </si>
  <si>
    <t>+$.ymin+""v-4h""+2*O+""v4ZM""+(F-O)+""</t>
  </si>
  <si>
    <t>+($.ymax-1)+""v4h""+2*O+""v-4Z"")):""d""===a&amp;&amp;(($=T?b(w</t>
  </si>
  <si>
    <t>pt]):[[F</t>
  </si>
  <si>
    <t>B]]).xmin=Math.min(F</t>
  </si>
  <si>
    <t>$.xmax=Math.max(F</t>
  </si>
  <si>
    <t>$.ymin=Math.min(B</t>
  </si>
  <si>
    <t>$.ymax=Math.max(B</t>
  </si>
  <si>
    <t>0Z""))}else u&amp;&amp;(q.addPt([lt</t>
  </si>
  <si>
    <t>pt])</t>
  </si>
  <si>
    <t>$=q.filtered);if(n.selectionDefs&amp;&amp;n.selectionDefs.length?(Y=Q(n.mergedPolygons</t>
  </si>
  <si>
    <t>xt)</t>
  </si>
  <si>
    <t>$.subtract=xt</t>
  </si>
  <si>
    <t>H=G(n.selectionDefs.concat([$]))):(Y=[$]</t>
  </si>
  <si>
    <t>H=R($))</t>
  </si>
  <si>
    <t>v(et(Y</t>
  </si>
  <si>
    <t>y)</t>
  </si>
  <si>
    <t>_t</t>
  </si>
  <si>
    <t>_){var c</t>
  </si>
  <si>
    <t>h=nt(k</t>
  </si>
  <si>
    <t>!1)</t>
  </si>
  <si>
    <t>f=h.eventData?h.eventData.points.slice():[];h=nt(k</t>
  </si>
  <si>
    <t>Et</t>
  </si>
  <si>
    <t>H=h.selectionTesters</t>
  </si>
  <si>
    <t>at=h.eventData</t>
  </si>
  <si>
    <t>c=q?q.filtered:ct(Y)</t>
  </si>
  <si>
    <t>C.throttle(Mt</t>
  </si>
  <si>
    <t>z.SELECTDELAY</t>
  </si>
  <si>
    <t>(function(){for(var t=(St=rt(H</t>
  </si>
  <si>
    <t>Et)).slice()</t>
  </si>
  <si>
    <t>e=0;e&lt;f.length;e++){for(var r=f[e]</t>
  </si>
  <si>
    <t>n=!1</t>
  </si>
  <si>
    <t>i=0;i&lt;t.length;i++)if(t[i].curveNumber===r.curveNumber&amp;&amp;t[i].pointNumber===r.pointNumber){n=!0;break}n||t.push(r)}t.length&amp;&amp;(at||(at={})</t>
  </si>
  <si>
    <t>at.points=t)</t>
  </si>
  <si>
    <t>Ct(at</t>
  </si>
  <si>
    <t>e){t.emit(""plotly_selecting""</t>
  </si>
  <si>
    <t>e)}(k</t>
  </si>
  <si>
    <t>at)}))}}</t>
  </si>
  <si>
    <t>n.clickFn=function(t</t>
  </si>
  <si>
    <t>e){if(kt.remove()</t>
  </si>
  <si>
    <t>k._fullLayout._activeShapeIndex&gt;=0)k._fullLayout._deactivateShape(k);else if(!x){var r=A.clickmode;C.done(Mt).then((function(){if(C.clear(Mt)</t>
  </si>
  <si>
    <t>2===t){for(_t.remove()</t>
  </si>
  <si>
    <t>J=0;J&lt;Et.length;J++)(tt=Et[J])._module.selectPoints(tt</t>
  </si>
  <si>
    <t>!1);if(K(k</t>
  </si>
  <si>
    <t>Et)</t>
  </si>
  <si>
    <t>W(n)</t>
  </si>
  <si>
    <t>ft(k)</t>
  </si>
  <si>
    <t>Et.length){var i=Et[0].xaxis</t>
  </si>
  <si>
    <t>o=Et[0].yaxis;if(i&amp;&amp;o){for(var s=[]</t>
  </si>
  <si>
    <t>c=k._fullLayout.selections</t>
  </si>
  <si>
    <t>u=0;u&lt;c.length;u++){var h=c[u];h&amp;&amp;(h.xref===i._id&amp;&amp;h.yref===o._id||s.push(h))}s.length&lt;c.length&amp;&amp;(k._fullLayout._noEmitSelectedAtStart=!0</t>
  </si>
  <si>
    <t>{selections:s}))}}}else r.indexOf(""select"")&gt;-1&amp;&amp;V(e</t>
  </si>
  <si>
    <t>n.subplot</t>
  </si>
  <si>
    <t>event""===r&amp;&amp;ht(k</t>
  </si>
  <si>
    <t>void 0);l.click(k</t>
  </si>
  <si>
    <t>I.id)})).catch(M.error)}}</t>
  </si>
  <si>
    <t>n.doneFn=function(){kt.remove()</t>
  </si>
  <si>
    <t>C.done(Mt).then((function(){C.clear(Mt)</t>
  </si>
  <si>
    <t>!S&amp;&amp;$&amp;&amp;n.selectionDefs&amp;&amp;($.subtract=xt</t>
  </si>
  <si>
    <t>n.selectionDefs.push($)</t>
  </si>
  <si>
    <t>n.mergedPolygons.length=0</t>
  </si>
  <si>
    <t>[].push.apply(n.mergedPolygons</t>
  </si>
  <si>
    <t>Y))</t>
  </si>
  <si>
    <t>(S||x)&amp;&amp;W(n</t>
  </si>
  <si>
    <t>n.doneFnCompleted&amp;&amp;n.doneFnCompleted(St)</t>
  </si>
  <si>
    <t>_&amp;&amp;ht(k</t>
  </si>
  <si>
    <t>at)})).catch(M.error)}}</t>
  </si>
  <si>
    <t>clearOutline:x</t>
  </si>
  <si>
    <t>clearSelectionsCache:W</t>
  </si>
  <si>
    <t>selectOnClick:V}}</t>
  </si>
  <si>
    <t>43144:function(t</t>
  </si>
  <si>
    <t>a=r(36640).line</t>
  </si>
  <si>
    <t>o=r(94850).T</t>
  </si>
  <si>
    <t>s=r(93049).extendFlat</t>
  </si>
  <si>
    <t>l=r(78032).templatedArray</t>
  </si>
  <si>
    <t>c=(r(35081)</t>
  </si>
  <si>
    <t>r(9829))</t>
  </si>
  <si>
    <t>u=r(3208).LF</t>
  </si>
  <si>
    <t>h=r(41235);t.exports=l(""shape""</t>
  </si>
  <si>
    <t>{visible:s({}</t>
  </si>
  <si>
    <t>c.visible</t>
  </si>
  <si>
    <t>{editType:""calc+arraydraw""})</t>
  </si>
  <si>
    <t>showlegend:{valType:""boolean""</t>
  </si>
  <si>
    <t>editType:""calc+arraydraw""}</t>
  </si>
  <si>
    <t>legend:s({}</t>
  </si>
  <si>
    <t>c.legend</t>
  </si>
  <si>
    <t>legendgroup:s({}</t>
  </si>
  <si>
    <t>c.legendgroup</t>
  </si>
  <si>
    <t>legendgrouptitle:{text:s({}</t>
  </si>
  <si>
    <t>c.legendgrouptitle.text</t>
  </si>
  <si>
    <t>font:i({editType:""calc+arraydraw""})</t>
  </si>
  <si>
    <t>legendrank:s({}</t>
  </si>
  <si>
    <t>c.legendrank</t>
  </si>
  <si>
    <t>legendwidth:s({}</t>
  </si>
  <si>
    <t>c.legendwidth</t>
  </si>
  <si>
    <t>values:[""circle""</t>
  </si>
  <si>
    <t>line""]</t>
  </si>
  <si>
    <t>above""</t>
  </si>
  <si>
    <t>between""]</t>
  </si>
  <si>
    <t>xref:s({}</t>
  </si>
  <si>
    <t>xsizemode:{valType:""enumerated""</t>
  </si>
  <si>
    <t>values:[""scaled""</t>
  </si>
  <si>
    <t>pixel""]</t>
  </si>
  <si>
    <t>dflt:""scaled""</t>
  </si>
  <si>
    <t>xanchor:{valType:""any""</t>
  </si>
  <si>
    <t>x0:{valType:""any""</t>
  </si>
  <si>
    <t>x1:{valType:""any""</t>
  </si>
  <si>
    <t>x0shift:{valType:""number""</t>
  </si>
  <si>
    <t>x1shift:{valType:""number""</t>
  </si>
  <si>
    <t>yref:s({}</t>
  </si>
  <si>
    <t>ysizemode:{valType:""enumerated""</t>
  </si>
  <si>
    <t>yanchor:{valType:""any""</t>
  </si>
  <si>
    <t>y0:{valType:""any""</t>
  </si>
  <si>
    <t>y1:{valType:""any""</t>
  </si>
  <si>
    <t>y0shift:{valType:""number""</t>
  </si>
  <si>
    <t>y1shift:{valType:""number""</t>
  </si>
  <si>
    <t>line:{color:s({}</t>
  </si>
  <si>
    <t>a.color</t>
  </si>
  <si>
    <t>{editType:""arraydraw""})</t>
  </si>
  <si>
    <t>width:s({}</t>
  </si>
  <si>
    <t>a.width</t>
  </si>
  <si>
    <t>dash:s({}</t>
  </si>
  <si>
    <t>fillcolor:{valType:""color""</t>
  </si>
  <si>
    <t>fillrule:{valType:""enumerated""</t>
  </si>
  <si>
    <t>values:[""evenodd""</t>
  </si>
  <si>
    <t>nonzero""]</t>
  </si>
  <si>
    <t>dflt:""evenodd""</t>
  </si>
  <si>
    <t>editable:{valType:""boolean""</t>
  </si>
  <si>
    <t>label:{text:{valType:""string""</t>
  </si>
  <si>
    <t>texttemplate:u({}</t>
  </si>
  <si>
    <t>{keys:Object.keys(h)})</t>
  </si>
  <si>
    <t>font:i({editType:""calc+arraydraw""</t>
  </si>
  <si>
    <t>colorEditType:""arraydraw""})</t>
  </si>
  <si>
    <t>textposition:{valType:""enumerated""</t>
  </si>
  <si>
    <t>values:[""top left""</t>
  </si>
  <si>
    <t>top right""</t>
  </si>
  <si>
    <t>middle left""</t>
  </si>
  <si>
    <t>middle center""</t>
  </si>
  <si>
    <t>middle right""</t>
  </si>
  <si>
    <t>bottom left""</t>
  </si>
  <si>
    <t>bottom center""</t>
  </si>
  <si>
    <t>bottom right""</t>
  </si>
  <si>
    <t>start""</t>
  </si>
  <si>
    <t>end""]</t>
  </si>
  <si>
    <t>textangle:{valType:""angle""</t>
  </si>
  <si>
    <t>padding:{valType:""number""</t>
  </si>
  <si>
    <t>dflt:3</t>
  </si>
  <si>
    <t>44959:function(t</t>
  </si>
  <si>
    <t>a=r(2956)</t>
  </si>
  <si>
    <t>o=r(49728);function s(t){return c(t.line.width</t>
  </si>
  <si>
    <t>t.xsizemode</t>
  </si>
  <si>
    <t>t.x1</t>
  </si>
  <si>
    <t>t.path</t>
  </si>
  <si>
    <t>!1)}function l(t){return c(t.line.width</t>
  </si>
  <si>
    <t>t.ysizemode</t>
  </si>
  <si>
    <t>t.y1</t>
  </si>
  <si>
    <t>!0)}function c(t</t>
  </si>
  <si>
    <t>l){var c=t/2</t>
  </si>
  <si>
    <t>u=l;if(""pixel""===e){var h=s?o.extractPathCoords(s</t>
  </si>
  <si>
    <t>l?a.paramIsY:a.paramIsX):[r</t>
  </si>
  <si>
    <t>i]</t>
  </si>
  <si>
    <t>f=n.aggNums(Math.max</t>
  </si>
  <si>
    <t>p=n.aggNums(Math.min</t>
  </si>
  <si>
    <t>d=p&lt;0?Math.abs(p)+c:c</t>
  </si>
  <si>
    <t>m=f&gt;0?f+c:c;return{ppad:c</t>
  </si>
  <si>
    <t>ppadplus:u?d:m</t>
  </si>
  <si>
    <t>ppadminus:u?m:d}}return{ppad:c}}function u(t</t>
  </si>
  <si>
    <t>s=""x""===t._id.charAt(0)?""x"":""y""</t>
  </si>
  <si>
    <t>l=""category""===t.type||""multicategory""===t.type</t>
  </si>
  <si>
    <t>h=l?t.r2c:t.d2c;if(""scaled""===e[s+""sizemode""]?(n=e[s+""0""]</t>
  </si>
  <si>
    <t>i=e[s+""1""]</t>
  </si>
  <si>
    <t>l&amp;&amp;(c=e[s+""0shift""]</t>
  </si>
  <si>
    <t>u=e[s+""1shift""])):(n=e[s+""anchor""]</t>
  </si>
  <si>
    <t>i=e[s+""anchor""])</t>
  </si>
  <si>
    <t>void 0!==n)return[h(n)+c</t>
  </si>
  <si>
    <t>h(i)+u];if(e.path){var f</t>
  </si>
  <si>
    <t>g=1/0</t>
  </si>
  <si>
    <t>y=-1/0</t>
  </si>
  <si>
    <t>v=e.path.match(a.segmentRE);for(""date""===t.type&amp;&amp;(h=o.decodeDate(h))</t>
  </si>
  <si>
    <t>f=0;f&lt;v.length;f++)void 0!==(p=r[v[f].charAt(0)].drawn)&amp;&amp;(!(d=v[f].substr(1).match(a.paramRE))||d.length&lt;p||((m=h(d[p]))&lt;g&amp;&amp;(g=m)</t>
  </si>
  <si>
    <t>m&gt;y&amp;&amp;(y=m)));return y&gt;=g?[g</t>
  </si>
  <si>
    <t>y]:void 0}}t.exports=function(t){var e=t._fullLayout</t>
  </si>
  <si>
    <t>r=n.filterVisible(e.shapes);if(r.length&amp;&amp;t._fullData.length)for(var o=0;o&lt;r.length;o++){var c</t>
  </si>
  <si>
    <t>f=r[o];f._extremes={};var p=i.getRefType(f.xref)</t>
  </si>
  <si>
    <t>d=i.getRefType(f.yref);""paper""!==f.xref&amp;&amp;""domain""!==p&amp;&amp;(h=u(c=i.getFromId(t</t>
  </si>
  <si>
    <t>f.xref)</t>
  </si>
  <si>
    <t>a.paramIsX))&amp;&amp;(f._extremes[c._id]=i.findExtremes(c</t>
  </si>
  <si>
    <t>s(f)))</t>
  </si>
  <si>
    <t>paper""!==f.yref&amp;&amp;""domain""!==d&amp;&amp;(h=u(c=i.getFromId(t</t>
  </si>
  <si>
    <t>f.yref)</t>
  </si>
  <si>
    <t>a.paramIsY))&amp;&amp;(f._extremes[c._id]=i.findExtremes(c</t>
  </si>
  <si>
    <t>l(f)))}}}</t>
  </si>
  <si>
    <t>2956:function(t){""use strict"";t.exports={segmentRE:/[MLHVQCTSZ][^MLHVQCTSZ]*/g</t>
  </si>
  <si>
    <t>paramRE:/[^\s</t>
  </si>
  <si>
    <t>]+/g</t>
  </si>
  <si>
    <t>paramIsX:{M:{0:!0</t>
  </si>
  <si>
    <t>drawn:0}</t>
  </si>
  <si>
    <t>L:{0:!0</t>
  </si>
  <si>
    <t>H:{0:!0</t>
  </si>
  <si>
    <t>V:{}</t>
  </si>
  <si>
    <t>Q:{0:!0</t>
  </si>
  <si>
    <t>2:!0</t>
  </si>
  <si>
    <t>drawn:2}</t>
  </si>
  <si>
    <t>C:{0:!0</t>
  </si>
  <si>
    <t>4:!0</t>
  </si>
  <si>
    <t>drawn:4}</t>
  </si>
  <si>
    <t>T:{0:!0</t>
  </si>
  <si>
    <t>S:{0:!0</t>
  </si>
  <si>
    <t>Z:{}}</t>
  </si>
  <si>
    <t>paramIsY:{M:{1:!0</t>
  </si>
  <si>
    <t>drawn:1}</t>
  </si>
  <si>
    <t>L:{1:!0</t>
  </si>
  <si>
    <t>H:{}</t>
  </si>
  <si>
    <t>V:{0:!0</t>
  </si>
  <si>
    <t>Q:{1:!0</t>
  </si>
  <si>
    <t>3:!0</t>
  </si>
  <si>
    <t>drawn:3}</t>
  </si>
  <si>
    <t>C:{1:!0</t>
  </si>
  <si>
    <t>5:!0</t>
  </si>
  <si>
    <t>drawn:5}</t>
  </si>
  <si>
    <t>T:{1:!0</t>
  </si>
  <si>
    <t>S:{1:!0</t>
  </si>
  <si>
    <t>numParams:{M:2</t>
  </si>
  <si>
    <t>L:2</t>
  </si>
  <si>
    <t>H:1</t>
  </si>
  <si>
    <t>V:1</t>
  </si>
  <si>
    <t>Q:4</t>
  </si>
  <si>
    <t>C:6</t>
  </si>
  <si>
    <t>T:2</t>
  </si>
  <si>
    <t>S:4</t>
  </si>
  <si>
    <t>Z:0}}}</t>
  </si>
  <si>
    <t>74367:function(t</t>
  </si>
  <si>
    <t>o=r(43144)</t>
  </si>
  <si>
    <t>i)}if(e._isShape=!0</t>
  </si>
  <si>
    <t>a(""visible"")){a(""showlegend"")&amp;&amp;(a(""legend"")</t>
  </si>
  <si>
    <t>a(""legendwidth"")</t>
  </si>
  <si>
    <t>a(""legendgroup"")</t>
  </si>
  <si>
    <t>a(""legendgrouptitle.text"")</t>
  </si>
  <si>
    <t>n.coerceFont(a</t>
  </si>
  <si>
    <t>legendgrouptitle.font"")</t>
  </si>
  <si>
    <t>a(""legendrank""));var l=a(""path"")</t>
  </si>
  <si>
    <t>c=a(""type""</t>
  </si>
  <si>
    <t>l?""path"":""rect"")</t>
  </si>
  <si>
    <t>u=""path""!==c;u&amp;&amp;delete e.path</t>
  </si>
  <si>
    <t>a(""editable"")</t>
  </si>
  <si>
    <t>a(""layer"")</t>
  </si>
  <si>
    <t>a(""fillcolor"")</t>
  </si>
  <si>
    <t>a(""fillrule"")</t>
  </si>
  <si>
    <t>a(""line.width"")&amp;&amp;(a(""line.color"")</t>
  </si>
  <si>
    <t>a(""line.dash""));for(var h=a(""xsizemode"")</t>
  </si>
  <si>
    <t>f=a(""ysizemode"")</t>
  </si>
  <si>
    <t>p=[""x""</t>
  </si>
  <si>
    <t>d=0;d&lt;2;d++){var m</t>
  </si>
  <si>
    <t>v=p[d]</t>
  </si>
  <si>
    <t>x=v+""anchor""</t>
  </si>
  <si>
    <t>_=""x""===v?h:f</t>
  </si>
  <si>
    <t>b={_fullLayout:r}</t>
  </si>
  <si>
    <t>w=i.coerceRef(t</t>
  </si>
  <si>
    <t>paper"");if(""range""===i.getRefType(w)?((m=i.getFromId(b</t>
  </si>
  <si>
    <t>w))._shapeIndices.push(e._index)</t>
  </si>
  <si>
    <t>y=s.rangeToShapePosition(m)</t>
  </si>
  <si>
    <t>g=s.shapePositionToRange(m)</t>
  </si>
  <si>
    <t>category""!==m.type&amp;&amp;""multicategory""!==m.type||(a(v+""0shift"")</t>
  </si>
  <si>
    <t>a(v+""1shift""))):g=y=n.identity</t>
  </si>
  <si>
    <t>u){var T=v+""0""</t>
  </si>
  <si>
    <t>k=v+""1""</t>
  </si>
  <si>
    <t>A=t[T]</t>
  </si>
  <si>
    <t>M=t[k];t[T]=g(t[T]</t>
  </si>
  <si>
    <t>t[k]=g(t[k]</t>
  </si>
  <si>
    <t>pixel""===_?(a(T</t>
  </si>
  <si>
    <t>a(k</t>
  </si>
  <si>
    <t>10)):(i.coercePosition(e</t>
  </si>
  <si>
    <t>.75))</t>
  </si>
  <si>
    <t>e[T]=y(e[T])</t>
  </si>
  <si>
    <t>e[k]=y(e[k])</t>
  </si>
  <si>
    <t>t[T]=A</t>
  </si>
  <si>
    <t>t[k]=M}if(""pixel""===_){var S=t[x];t[x]=g(t[x]</t>
  </si>
  <si>
    <t>e[x]=y(e[x])</t>
  </si>
  <si>
    <t>t[x]=S}}u&amp;&amp;n.noneOrAll(t</t>
  </si>
  <si>
    <t>y1""]);var E</t>
  </si>
  <si>
    <t>L=""line""===c;if(u&amp;&amp;(E=a(""label.texttemplate""))</t>
  </si>
  <si>
    <t>E||(C=a(""label.text""))</t>
  </si>
  <si>
    <t>C||E){a(""label.textangle"");var I=a(""label.textposition""</t>
  </si>
  <si>
    <t>L?""middle"":""middle center"");a(""label.xanchor"")</t>
  </si>
  <si>
    <t>a(""label.yanchor""</t>
  </si>
  <si>
    <t>e){return t?""bottom"":-1!==e.indexOf(""top"")?""top"":-1!==e.indexOf(""bottom"")?""bottom"":""middle""}(L</t>
  </si>
  <si>
    <t>I))</t>
  </si>
  <si>
    <t>a(""label.padding"")</t>
  </si>
  <si>
    <t>label.font""</t>
  </si>
  <si>
    <t>r.font)}}}t.exports=function(t</t>
  </si>
  <si>
    <t>{name:""shapes""</t>
  </si>
  <si>
    <t>handleItemDefaults:l})}}</t>
  </si>
  <si>
    <t>44433:function(t</t>
  </si>
  <si>
    <t>a=r(30635)</t>
  </si>
  <si>
    <t>o=r(62203)</t>
  </si>
  <si>
    <t>s=r(81055).readPaths</t>
  </si>
  <si>
    <t>l=r(49728)</t>
  </si>
  <si>
    <t>c=l.getPathString</t>
  </si>
  <si>
    <t>u=r(41235)</t>
  </si>
  <si>
    <t>h=r(4530).FROM_TL;t.exports=function(t</t>
  </si>
  <si>
    <t>f){if(f.selectAll("".shape-label"").remove()</t>
  </si>
  <si>
    <t>r.label.text||r.label.texttemplate){var p;if(r.label.texttemplate){var d={};if(""path""!==r.type){var m=i.getFromId(t</t>
  </si>
  <si>
    <t>r.xref)</t>
  </si>
  <si>
    <t>g=i.getFromId(t</t>
  </si>
  <si>
    <t>r.yref);for(var y in u){var v=u[y](r</t>
  </si>
  <si>
    <t>g);void 0!==v&amp;&amp;(d[y]=v)}}p=n.texttemplateStringForShapes(r.label.texttemplate</t>
  </si>
  <si>
    <t>{}</t>
  </si>
  <si>
    <t>t._fullLayout._d3locale</t>
  </si>
  <si>
    <t>d)}else p=r.label.text;var x</t>
  </si>
  <si>
    <t>T={""data-index"":e}</t>
  </si>
  <si>
    <t>k=r.label.font</t>
  </si>
  <si>
    <t>A=f.append(""g"").attr(T).classed(""shape-label""</t>
  </si>
  <si>
    <t>!0).append(""text"").attr({""data-notex"":1}).classed(""shape-label-text""</t>
  </si>
  <si>
    <t>!0).text(p);if(r.path){var M=c(t</t>
  </si>
  <si>
    <t>S=s(M</t>
  </si>
  <si>
    <t>t);x=1/0</t>
  </si>
  <si>
    <t>b=1/0</t>
  </si>
  <si>
    <t>_=-1/0</t>
  </si>
  <si>
    <t>w=-1/0;for(var E=0;E&lt;S.length;E++)for(var C=0;C&lt;S[E].length;C++)for(var L=S[E][C]</t>
  </si>
  <si>
    <t>I=1;I&lt;L.length;I+=2){var P=L[I]</t>
  </si>
  <si>
    <t>z=L[I+1];x=Math.min(x</t>
  </si>
  <si>
    <t>P)</t>
  </si>
  <si>
    <t>_=Math.max(_</t>
  </si>
  <si>
    <t>b=Math.min(b</t>
  </si>
  <si>
    <t>w=Math.max(w</t>
  </si>
  <si>
    <t>z)}}else{var O=i.getFromId(t</t>
  </si>
  <si>
    <t>D=r.x0shift</t>
  </si>
  <si>
    <t>R=r.x1shift</t>
  </si>
  <si>
    <t>F=i.getRefType(r.xref)</t>
  </si>
  <si>
    <t>B=i.getFromId(t</t>
  </si>
  <si>
    <t>r.yref)</t>
  </si>
  <si>
    <t>N=r.y0shift</t>
  </si>
  <si>
    <t>j=r.y1shift</t>
  </si>
  <si>
    <t>U=i.getRefType(r.yref)</t>
  </si>
  <si>
    <t>V=function(e</t>
  </si>
  <si>
    <t>r){return l.getDataToPixel(t</t>
  </si>
  <si>
    <t>F)(e)}</t>
  </si>
  <si>
    <t>q=function(e</t>
  </si>
  <si>
    <t>U)(e)};x=V(r.x0</t>
  </si>
  <si>
    <t>_=V(r.x1</t>
  </si>
  <si>
    <t>b=q(r.y0</t>
  </si>
  <si>
    <t>w=q(r.y1</t>
  </si>
  <si>
    <t>j)}var H=r.label.textangle;""auto""===H&amp;&amp;(H=""line""===r.type?function(t</t>
  </si>
  <si>
    <t>a;return a=Math.abs(r-t)</t>
  </si>
  <si>
    <t>i=r&gt;=t?e-n:n-e</t>
  </si>
  <si>
    <t>-180/Math.PI*Math.atan2(i</t>
  </si>
  <si>
    <t>a)}(x</t>
  </si>
  <si>
    <t>w):0)</t>
  </si>
  <si>
    <t>A.call((function(e){return e.call(o.font</t>
  </si>
  <si>
    <t>k).attr({})</t>
  </si>
  <si>
    <t>a.convertToTspans(e</t>
  </si>
  <si>
    <t>e}));var G=function(t</t>
  </si>
  <si>
    <t>f=i.label.textposition</t>
  </si>
  <si>
    <t>p=i.label.textangle</t>
  </si>
  <si>
    <t>d=i.label.padding</t>
  </si>
  <si>
    <t>m=i.type</t>
  </si>
  <si>
    <t>g=Math.PI/180*a</t>
  </si>
  <si>
    <t>y=Math.sin(g)</t>
  </si>
  <si>
    <t>v=Math.cos(g)</t>
  </si>
  <si>
    <t>x=i.label.xanchor</t>
  </si>
  <si>
    <t>_=i.label.yanchor;if(""line""===m){""start""===f?(s=t</t>
  </si>
  <si>
    <t>l=e):""end""===f?(s=r</t>
  </si>
  <si>
    <t>l=n):(s=(t+r)/2</t>
  </si>
  <si>
    <t>l=(e+n)/2)</t>
  </si>
  <si>
    <t>auto""===x&amp;&amp;(x=""start""===f?""auto""===p?r&gt;t?""left"":r&lt;t?""right"":""center"":r&gt;t?""right"":r&lt;t?""left"":""center"":""end""===f?""auto""===p?r&gt;t?""right"":r&lt;t?""left"":""center"":r&gt;t?""left"":r&lt;t?""right"":""center"":""center"");var b={bottom:-1</t>
  </si>
  <si>
    <t>top:1};if(""auto""===p){var w=b[_];c=-d*y*w</t>
  </si>
  <si>
    <t>u=d*v*w}else c=d*{left:1</t>
  </si>
  <si>
    <t>center:0</t>
  </si>
  <si>
    <t>right:-1}[x]</t>
  </si>
  <si>
    <t>u=d*b[_];s+=c</t>
  </si>
  <si>
    <t>l+=u}else c=d+3</t>
  </si>
  <si>
    <t>-1!==f.indexOf(""right"")?(s=Math.max(t</t>
  </si>
  <si>
    <t>r)-c</t>
  </si>
  <si>
    <t>auto""===x&amp;&amp;(x=""right"")):-1!==f.indexOf(""left"")?(s=Math.min(t</t>
  </si>
  <si>
    <t>r)+c</t>
  </si>
  <si>
    <t>auto""===x&amp;&amp;(x=""left"")):(s=(t+r)/2</t>
  </si>
  <si>
    <t>auto""===x&amp;&amp;(x=""center""))</t>
  </si>
  <si>
    <t>l=-1!==f.indexOf(""top"")?Math.min(e</t>
  </si>
  <si>
    <t>n):-1!==f.indexOf(""bottom"")?Math.max(e</t>
  </si>
  <si>
    <t>n):(e+n)/2</t>
  </si>
  <si>
    <t>u=d</t>
  </si>
  <si>
    <t>bottom""===_?l-=u:""top""===_&amp;&amp;(l+=u);var T=h[_]</t>
  </si>
  <si>
    <t>k=i.label.font.size</t>
  </si>
  <si>
    <t>A=o.height;return{textx:s+(A*T-k)*y</t>
  </si>
  <si>
    <t>texty:l+-(A*T-k)*v</t>
  </si>
  <si>
    <t>xanchor:x}}(x</t>
  </si>
  <si>
    <t>o.bBox(A.node()))</t>
  </si>
  <si>
    <t>Z=G.textx</t>
  </si>
  <si>
    <t>W=G.texty</t>
  </si>
  <si>
    <t>Y=G.xanchor;A.attr({""text-anchor"":{left:""start""</t>
  </si>
  <si>
    <t>center:""middle""</t>
  </si>
  <si>
    <t>right:""end""}[Y]</t>
  </si>
  <si>
    <t>y:W</t>
  </si>
  <si>
    <t>x:Z</t>
  </si>
  <si>
    <t>transform:""rotate(""+H+""</t>
  </si>
  <si>
    <t>+W+"")""}).call(a.positionText</t>
  </si>
  <si>
    <t>W)}}}</t>
  </si>
  <si>
    <t>561:function(t</t>
  </si>
  <si>
    <t>r){""use strict"";var n=r(34809).strTranslate</t>
  </si>
  <si>
    <t>i=r(14751)</t>
  </si>
  <si>
    <t>a=r(70414)</t>
  </si>
  <si>
    <t>o=a.drawMode</t>
  </si>
  <si>
    <t>s=a.selectMode</t>
  </si>
  <si>
    <t>u=r(93391)</t>
  </si>
  <si>
    <t>h=u.i000</t>
  </si>
  <si>
    <t>f=u.i090</t>
  </si>
  <si>
    <t>p=u.i180</t>
  </si>
  <si>
    <t>d=u.i270</t>
  </si>
  <si>
    <t>m=r(78534).clearOutlineControllers</t>
  </si>
  <si>
    <t>g=r(81055)</t>
  </si>
  <si>
    <t>y=g.pointsOnRectangle</t>
  </si>
  <si>
    <t>v=g.pointsOnEllipse</t>
  </si>
  <si>
    <t>x=g.writePaths</t>
  </si>
  <si>
    <t>_=r(87562).newShapes</t>
  </si>
  <si>
    <t>b=r(87562).createShapeObj</t>
  </si>
  <si>
    <t>w=r(51817)</t>
  </si>
  <si>
    <t>T=r(44433);function k(t</t>
  </si>
  <si>
    <t>a=t[e][1]</t>
  </si>
  <si>
    <t>o=t[e][2]</t>
  </si>
  <si>
    <t>s=t.length;return n=t[r=(e+1)%s][1]</t>
  </si>
  <si>
    <t>i=t[r][2]</t>
  </si>
  <si>
    <t>n===a&amp;&amp;i===o&amp;&amp;(n=t[r=(e+2)%s][1]</t>
  </si>
  <si>
    <t>i=t[r][2])</t>
  </si>
  <si>
    <t>[r</t>
  </si>
  <si>
    <t>i]}t.exports=function t(e</t>
  </si>
  <si>
    <t>u){u||(u=0);var g=a.gd;function A(){t(e</t>
  </si>
  <si>
    <t>u++)</t>
  </si>
  <si>
    <t>(v(e[0])||a.hasText)&amp;&amp;M({redrawing:!0})}function M(t){var e={};void 0!==a.isActiveShape&amp;&amp;(a.isActiveShape=!1</t>
  </si>
  <si>
    <t>e=_(r</t>
  </si>
  <si>
    <t>void 0!==a.isActiveSelection&amp;&amp;(a.isActiveSelection=!1</t>
  </si>
  <si>
    <t>e=w(r</t>
  </si>
  <si>
    <t>g._fullLayout._reselect=!0)</t>
  </si>
  <si>
    <t>Object.keys(e).length&amp;&amp;l.call((t||{}).redrawing?""relayout"":""_guiRelayout""</t>
  </si>
  <si>
    <t>e)}var S</t>
  </si>
  <si>
    <t>P=g._fullLayout._zoomlayer</t>
  </si>
  <si>
    <t>z=a.dragmode</t>
  </si>
  <si>
    <t>O=o(z)</t>
  </si>
  <si>
    <t>D=s(z);if((O||D)&amp;&amp;(g._fullLayout._outlining=!0)</t>
  </si>
  <si>
    <t>m(g)</t>
  </si>
  <si>
    <t>r.attr(""d""</t>
  </si>
  <si>
    <t>x(e))</t>
  </si>
  <si>
    <t>u||!a.isActiveShape&amp;&amp;!a.isActiveSelection||(I=function(t</t>
  </si>
  <si>
    <t>e){for(var r=0;r&lt;e.length;r++){var n=e[r];t[r]=[];for(var i=0;i&lt;n.length;i++){t[r][i]=[];for(var a=0;a&lt;n[i].length;a++)t[r][i][a]=n[i][a]}}return t}([]</t>
  </si>
  <si>
    <t>function(t){S=[];for(var r=0;r&lt;e.length;r++){var o=e[r]</t>
  </si>
  <si>
    <t>s=y(o)</t>
  </si>
  <si>
    <t>l=!s&amp;&amp;v(o);S[r]=[];for(var u=o.length</t>
  </si>
  <si>
    <t>m=0;m&lt;u;m++)if(""Z""!==o[m][0]&amp;&amp;(!l||m===h||m===f||m===p||m===d)){var x</t>
  </si>
  <si>
    <t>_=s&amp;&amp;a.isActiveSelection;_&amp;&amp;(x=k(o</t>
  </si>
  <si>
    <t>m));var b=o[m][1]</t>
  </si>
  <si>
    <t>w=o[m][2]</t>
  </si>
  <si>
    <t>T=t.append(_?""rect"":""circle"").attr(""data-i""</t>
  </si>
  <si>
    <t>r).attr(""data-j""</t>
  </si>
  <si>
    <t>m).style({fill:c.background</t>
  </si>
  <si>
    <t>stroke-width"":1</t>
  </si>
  <si>
    <t>shape-rendering"":""crispEdges""});if(_){var A=x[1]-b</t>
  </si>
  <si>
    <t>M=x[2]-w</t>
  </si>
  <si>
    <t>E=M?5:Math.max(Math.min(25</t>
  </si>
  <si>
    <t>Math.abs(A)-5)</t>
  </si>
  <si>
    <t>5)</t>
  </si>
  <si>
    <t>C=A?5:Math.max(Math.min(25</t>
  </si>
  <si>
    <t>Math.abs(M)-5)</t>
  </si>
  <si>
    <t>5);T.classed(M?""cursor-ew-resize"":""cursor-ns-resize""</t>
  </si>
  <si>
    <t>!0).attr(""width""</t>
  </si>
  <si>
    <t>E).attr(""height""</t>
  </si>
  <si>
    <t>C).attr(""x""</t>
  </si>
  <si>
    <t>b-E/2).attr(""y""</t>
  </si>
  <si>
    <t>w-C/2).attr(""transform""</t>
  </si>
  <si>
    <t>n(A/2</t>
  </si>
  <si>
    <t>M/2))}else T.classed(""cursor-grab""</t>
  </si>
  <si>
    <t>!0).attr(""r""</t>
  </si>
  <si>
    <t>5).attr(""cx""</t>
  </si>
  <si>
    <t>b).attr(""cy""</t>
  </si>
  <si>
    <t>w);S[r][m]={element:T.node()</t>
  </si>
  <si>
    <t>gd:g</t>
  </si>
  <si>
    <t>prepFn:B</t>
  </si>
  <si>
    <t>doneFn:j</t>
  </si>
  <si>
    <t>clickFn:U}</t>
  </si>
  <si>
    <t>i.init(S[r][m])}}}(P.append(""g"").attr(""class""</t>
  </si>
  <si>
    <t>outline-controllers""))</t>
  </si>
  <si>
    <t>function(){if(E=[]</t>
  </si>
  <si>
    <t>e.length){E[0]={element:r[0][0]</t>
  </si>
  <si>
    <t>prepFn:q</t>
  </si>
  <si>
    <t>doneFn:H</t>
  </si>
  <si>
    <t>clickFn:G}</t>
  </si>
  <si>
    <t>i.init(E[0])}}())</t>
  </si>
  <si>
    <t>O&amp;&amp;a.hasText){var R=P.select("".label-temp"")</t>
  </si>
  <si>
    <t>F=b(r</t>
  </si>
  <si>
    <t>a.dragmode);T(g</t>
  </si>
  <si>
    <t>label-temp""</t>
  </si>
  <si>
    <t>R)}function B(t){C=+t.srcElement.getAttribute(""data-i"")</t>
  </si>
  <si>
    <t>L=+t.srcElement.getAttribute(""data-j"")</t>
  </si>
  <si>
    <t>S[C][L].moveFn=N}function N(t</t>
  </si>
  <si>
    <t>r){if(e.length){var n=I[C][L][1]</t>
  </si>
  <si>
    <t>i=I[C][L][2]</t>
  </si>
  <si>
    <t>o=e[C]</t>
  </si>
  <si>
    <t>s=o.length;if(y(o)){var l=t</t>
  </si>
  <si>
    <t>c=r;a.isActiveSelection&amp;&amp;(k(o</t>
  </si>
  <si>
    <t>L)[1]===o[L][1]?c=0:l=0);for(var u=0;u&lt;s;u++)if(u!==L){var h=o[u];h[1]===o[L][1]&amp;&amp;(h[1]=n+l)</t>
  </si>
  <si>
    <t>h[2]===o[L][2]&amp;&amp;(h[2]=i+c)}if(o[L][1]=n+l</t>
  </si>
  <si>
    <t>o[L][2]=i+c</t>
  </si>
  <si>
    <t>!y(o))for(var f=0;f&lt;s;f++)for(var p=0;p&lt;o[f].length;p++)o[f][p]=I[C][f][p]}else o[L][1]=n+t</t>
  </si>
  <si>
    <t>o[L][2]=i+r;A()}}function j(){M()}function U(t</t>
  </si>
  <si>
    <t>r){if(2===t){C=+r.srcElement.getAttribute(""data-i"")</t>
  </si>
  <si>
    <t>L=+r.srcElement.getAttribute(""data-j"");var n=e[C];y(n)||v(n)||function(){if(e.length&amp;&amp;e[C]&amp;&amp;e[C].length){for(var t=[]</t>
  </si>
  <si>
    <t>r=0;r&lt;e[C].length;r++)r!==L&amp;&amp;t.push(e[C][r]);t.length&gt;1&amp;&amp;(2!==t.length||""Z""!==t[1][0])&amp;&amp;(0===L&amp;&amp;(t[0][0]=""M"")</t>
  </si>
  <si>
    <t>e[C]=t</t>
  </si>
  <si>
    <t>A()</t>
  </si>
  <si>
    <t>M())}}()}}function V(t</t>
  </si>
  <si>
    <t>r){!function(t</t>
  </si>
  <si>
    <t>r){if(e.length)for(var n=0;n&lt;e.length;n++)for(var i=0;i&lt;e[n].length;i++)for(var a=0;a+2&lt;e[n][i].length;a+=2)e[n][i][a+1]=I[n][i][a+1]+t</t>
  </si>
  <si>
    <t>e[n][i][a+2]=I[n][i][a+2]+r}(t</t>
  </si>
  <si>
    <t>A()}function q(t){(C=+t.srcElement.getAttribute(""data-i""))||(C=0)</t>
  </si>
  <si>
    <t>E[C].moveFn=V}function H(){M()}function G(t){2===t&amp;&amp;function(t){if(s(t._fullLayout.dragmode)){m(t);var e=t._fullLayout._activeSelectionIndex</t>
  </si>
  <si>
    <t>r=(t.layout||{}).selections||[];if(e&lt;r.length){for(var n=[]</t>
  </si>
  <si>
    <t>i=0;i&lt;r.length;i++)i!==e&amp;&amp;n.push(r[i]);delete t._fullLayout._activeSelectionIndex;var a=t._fullLayout.selections[e];t._fullLayout._deselect={xref:a.xref</t>
  </si>
  <si>
    <t>yref:a.yref}</t>
  </si>
  <si>
    <t>l.call(""_guiRelayout""</t>
  </si>
  <si>
    <t>{selections:n})}}}(g)}}}</t>
  </si>
  <si>
    <t>28231:function(t</t>
  </si>
  <si>
    <t>o=r(29714)</t>
  </si>
  <si>
    <t>l=r(561)</t>
  </si>
  <si>
    <t>c=r(44433)</t>
  </si>
  <si>
    <t>u=r(78534).clearOutlineControllers</t>
  </si>
  <si>
    <t>h=r(78766)</t>
  </si>
  <si>
    <t>f=r(62203)</t>
  </si>
  <si>
    <t>p=r(78032).arrayEditor</t>
  </si>
  <si>
    <t>d=r(14751)</t>
  </si>
  <si>
    <t>m=r(27983)</t>
  </si>
  <si>
    <t>g=r(2956)</t>
  </si>
  <si>
    <t>y=r(49728)</t>
  </si>
  <si>
    <t>v=y.getPathString;function x(t){var e=t._fullLayout;for(var r in e._shapeUpperLayer.selectAll(""path"").remove()</t>
  </si>
  <si>
    <t>e._shapeLowerLayer.selectAll(""path"").remove()</t>
  </si>
  <si>
    <t>e._shapeUpperLayer.selectAll(""text"").remove()</t>
  </si>
  <si>
    <t>e._shapeLowerLayer.selectAll(""text"").remove()</t>
  </si>
  <si>
    <t>e._plots){var n=e._plots[r].shapelayer;n&amp;&amp;(n.selectAll(""path"").remove()</t>
  </si>
  <si>
    <t>n.selectAll(""text"").remove())}for(var i=0;i&lt;e.shapes.length;i++)!0===e.shapes[i].visible&amp;&amp;w(t</t>
  </si>
  <si>
    <t>i)}function _(t){return!!t._fullLayout._outlining}function b(t){return!t._context.edits.shapePosition}function w(t</t>
  </si>
  <si>
    <t>e){t._fullLayout._paperdiv.selectAll('.shapelayer [data-index=""'+e+'""]').remove();var r=y.makeShapesOptionsAndPlotinfo(t</t>
  </si>
  <si>
    <t>u=r.options</t>
  </si>
  <si>
    <t>w=r.plotinfo;function M(r){var M=v(t</t>
  </si>
  <si>
    <t>S={""data-index"":e</t>
  </si>
  <si>
    <t>fill-rule"":u.fillrule</t>
  </si>
  <si>
    <t>d:M}</t>
  </si>
  <si>
    <t>E=u.opacity</t>
  </si>
  <si>
    <t>C=u.fillcolor</t>
  </si>
  <si>
    <t>L=u.line.width?u.line.color:""rgba(0</t>
  </si>
  <si>
    <t>I=u.line.width</t>
  </si>
  <si>
    <t>P=u.line.dash;I||!0!==u.editable||(I=5</t>
  </si>
  <si>
    <t>P=""solid"");var z=""Z""!==M[M.length-1]</t>
  </si>
  <si>
    <t>O=b(t)&amp;&amp;u.editable&amp;&amp;t._fullLayout._activeShapeIndex===e;O&amp;&amp;(C=z?""rgba(0</t>
  </si>
  <si>
    <t>0)"":t._fullLayout.activeshape.fillcolor</t>
  </si>
  <si>
    <t>E=t._fullLayout.activeshape.opacity);var D</t>
  </si>
  <si>
    <t>R=r.append(""g"").classed(""shape-group""</t>
  </si>
  <si>
    <t>!0).attr({""data-index"":e})</t>
  </si>
  <si>
    <t>F=R.append(""path"").attr(S).style(""opacity""</t>
  </si>
  <si>
    <t>E).call(h.stroke</t>
  </si>
  <si>
    <t>L).call(h.fill</t>
  </si>
  <si>
    <t>C).call(f.dashLine</t>
  </si>
  <si>
    <t>I);if(T(R</t>
  </si>
  <si>
    <t>c(t</t>
  </si>
  <si>
    <t>(O||t._context.edits.shapePosition)&amp;&amp;(D=p(t.layout</t>
  </si>
  <si>
    <t>shapes""</t>
  </si>
  <si>
    <t>u))</t>
  </si>
  <si>
    <t>O){F.style({cursor:""move""});var B={element:F.node()</t>
  </si>
  <si>
    <t>plotinfo:w</t>
  </si>
  <si>
    <t>editHelpers:D</t>
  </si>
  <si>
    <t>hasText:u.label.text||u.label.texttemplate</t>
  </si>
  <si>
    <t>isActiveShape:!0}</t>
  </si>
  <si>
    <t>N=s(M</t>
  </si>
  <si>
    <t>t);l(N</t>
  </si>
  <si>
    <t>B)}else t._context.edits.shapePosition?function(t</t>
  </si>
  <si>
    <t>u){var h</t>
  </si>
  <si>
    <t>R=10</t>
  </si>
  <si>
    <t>F=10</t>
  </si>
  <si>
    <t>B=""pixel""===r.xsizemode</t>
  </si>
  <si>
    <t>N=""pixel""===r.ysizemode</t>
  </si>
  <si>
    <t>j=""line""===r.type</t>
  </si>
  <si>
    <t>U=""path""===r.type</t>
  </si>
  <si>
    <t>V=u.modifyItem</t>
  </si>
  <si>
    <t>q=n.select(e.node().parentNode)</t>
  </si>
  <si>
    <t>H=o.getFromId(t</t>
  </si>
  <si>
    <t>G=o.getRefType(r.xref)</t>
  </si>
  <si>
    <t>Z=o.getFromId(t</t>
  </si>
  <si>
    <t>W=o.getRefType(r.yref)</t>
  </si>
  <si>
    <t>Y=r.x0shift</t>
  </si>
  <si>
    <t>X=r.x1shift</t>
  </si>
  <si>
    <t>$=r.y0shift</t>
  </si>
  <si>
    <t>J=r.y1shift</t>
  </si>
  <si>
    <t>K=function(e</t>
  </si>
  <si>
    <t>r){return y.getDataToPixel(t</t>
  </si>
  <si>
    <t>G)(e)}</t>
  </si>
  <si>
    <t>Q=function(e</t>
  </si>
  <si>
    <t>W)(e)}</t>
  </si>
  <si>
    <t>tt=y.getPixelToData(t</t>
  </si>
  <si>
    <t>G)</t>
  </si>
  <si>
    <t>et=y.getPixelToData(t</t>
  </si>
  <si>
    <t>rt=j?function(){var t=10</t>
  </si>
  <si>
    <t>n=Math.max(r.line.width</t>
  </si>
  <si>
    <t>i=l.append(""g"").attr(""data-index""</t>
  </si>
  <si>
    <t>s).attr(""drag-helper""</t>
  </si>
  <si>
    <t>!0);i.append(""path"").attr(""d""</t>
  </si>
  <si>
    <t>e.attr(""d"")).style({cursor:""move""</t>
  </si>
  <si>
    <t>stroke-width"":n</t>
  </si>
  <si>
    <t>stroke-opacity"":""0""});var a={""fill-opacity"":""0""}</t>
  </si>
  <si>
    <t>o=Math.max(n/2</t>
  </si>
  <si>
    <t>t);return i.append(""circle"").attr({""data-line-point"":""start-point""</t>
  </si>
  <si>
    <t>cx:B?K(r.xanchor)+r.x0:K(r.x0</t>
  </si>
  <si>
    <t>cy:N?Q(r.yanchor)-r.y0:Q(r.y0</t>
  </si>
  <si>
    <t>r:o}).style(a).classed(""cursor-grab""</t>
  </si>
  <si>
    <t>i.append(""circle"").attr({""data-line-point"":""end-point""</t>
  </si>
  <si>
    <t>cx:B?K(r.xanchor)+r.x1:K(r.x1</t>
  </si>
  <si>
    <t>X)</t>
  </si>
  <si>
    <t>cy:N?Q(r.yanchor)-r.y1:Q(r.y1</t>
  </si>
  <si>
    <t>J)</t>
  </si>
  <si>
    <t>i}():e</t>
  </si>
  <si>
    <t>nt={element:rt.node()</t>
  </si>
  <si>
    <t>prepFn:function(n){_(t)||(B&amp;&amp;(w=K(r.xanchor))</t>
  </si>
  <si>
    <t>N&amp;&amp;(A=Q(r.yanchor))</t>
  </si>
  <si>
    <t>path""===r.type?O=r.path:(h=B?r.x0:K(r.x0)</t>
  </si>
  <si>
    <t>p=N?r.y0:Q(r.y0)</t>
  </si>
  <si>
    <t>x=B?r.x1:K(r.x1)</t>
  </si>
  <si>
    <t>b=N?r.y1:Q(r.y1))</t>
  </si>
  <si>
    <t>h&lt;x?(E=h</t>
  </si>
  <si>
    <t>P=""x0""</t>
  </si>
  <si>
    <t>C=x</t>
  </si>
  <si>
    <t>z=""x1""):(E=x</t>
  </si>
  <si>
    <t>P=""x1""</t>
  </si>
  <si>
    <t>C=h</t>
  </si>
  <si>
    <t>z=""x0"")</t>
  </si>
  <si>
    <t>!N&amp;&amp;p&lt;b||N&amp;&amp;p&gt;b?(M=p</t>
  </si>
  <si>
    <t>L=""y0""</t>
  </si>
  <si>
    <t>S=b</t>
  </si>
  <si>
    <t>I=""y1""):(M=b</t>
  </si>
  <si>
    <t>L=""y1""</t>
  </si>
  <si>
    <t>S=p</t>
  </si>
  <si>
    <t>I=""y0"")</t>
  </si>
  <si>
    <t>it(n)</t>
  </si>
  <si>
    <t>st(l</t>
  </si>
  <si>
    <t>r){var n=e.xref</t>
  </si>
  <si>
    <t>i=e.yref</t>
  </si>
  <si>
    <t>a=o.getFromId(r</t>
  </si>
  <si>
    <t>s=o.getFromId(r</t>
  </si>
  <si>
    <t>l="""";""paper""===n||a.autorange||(l+=n)</t>
  </si>
  <si>
    <t>paper""===i||s.autorange||(l+=i)</t>
  </si>
  <si>
    <t>f.setClipUrl(t</t>
  </si>
  <si>
    <t>l?""clip""+r._fullLayout._uid+l:null</t>
  </si>
  <si>
    <t>r)}(e</t>
  </si>
  <si>
    <t>nt.moveFn=""move""===D?at:ot</t>
  </si>
  <si>
    <t>nt.altKey=n.altKey)}</t>
  </si>
  <si>
    <t>doneFn:function(){_(t)||(m(e)</t>
  </si>
  <si>
    <t>lt(l)</t>
  </si>
  <si>
    <t>T(e</t>
  </si>
  <si>
    <t>i.call(""_guiRelayout""</t>
  </si>
  <si>
    <t>u.getUpdateObj()))}</t>
  </si>
  <si>
    <t>clickFn:function(){_(t)||lt(l)}};function it(r){if(_(t))D=null;else if(j)D=""path""===r.target.tagName?""move"":""start-point""===r.target.attributes[""data-line-point""].value?""resize-over-start-point"":""resize-over-end-point"";else{var n=nt.element.getBoundingClientRect()</t>
  </si>
  <si>
    <t>i=n.right-n.left</t>
  </si>
  <si>
    <t>a=n.bottom-n.top</t>
  </si>
  <si>
    <t>o=r.clientX-n.left</t>
  </si>
  <si>
    <t>s=r.clientY-n.top</t>
  </si>
  <si>
    <t>l=!U&amp;&amp;i&gt;R&amp;&amp;a&gt;F&amp;&amp;!r.shiftKey?d.getCursor(o/i</t>
  </si>
  <si>
    <t>1-s/a):""move"";m(e</t>
  </si>
  <si>
    <t>D=l.split(""-"")[0]}}function at(n</t>
  </si>
  <si>
    <t>i){if(""path""===r.type){var a=function(t){return t}</t>
  </si>
  <si>
    <t>o=a</t>
  </si>
  <si>
    <t>u=a;B?V(""xanchor""</t>
  </si>
  <si>
    <t>r.xanchor=tt(w+n)):(o=function(t){return tt(K(t)+n)}</t>
  </si>
  <si>
    <t>H&amp;&amp;""date""===H.type&amp;&amp;(o=y.encodeDate(o)))</t>
  </si>
  <si>
    <t>N?V(""yanchor""</t>
  </si>
  <si>
    <t>r.yanchor=et(A+i)):(u=function(t){return et(Q(t)+i)}</t>
  </si>
  <si>
    <t>Z&amp;&amp;""date""===Z.type&amp;&amp;(u=y.encodeDate(u)))</t>
  </si>
  <si>
    <t>V(""path""</t>
  </si>
  <si>
    <t>r.path=k(O</t>
  </si>
  <si>
    <t>u))}else B?V(""xanchor""</t>
  </si>
  <si>
    <t>r.xanchor=tt(w+n)):(V(""x0""</t>
  </si>
  <si>
    <t>r.x0=tt(h+n))</t>
  </si>
  <si>
    <t>V(""x1""</t>
  </si>
  <si>
    <t>r.x1=tt(x+n)))</t>
  </si>
  <si>
    <t>r.yanchor=et(A+i)):(V(""y0""</t>
  </si>
  <si>
    <t>r.y0=et(p+i))</t>
  </si>
  <si>
    <t>V(""y1""</t>
  </si>
  <si>
    <t>r.y1=et(b+i)));e.attr(""d""</t>
  </si>
  <si>
    <t>v(t</t>
  </si>
  <si>
    <t>r))</t>
  </si>
  <si>
    <t>q)}function ot(n</t>
  </si>
  <si>
    <t>i){if(U){var a=function(t){return t}</t>
  </si>
  <si>
    <t>u))}else if(j){if(""resize-over-start-point""===D){var f=h+n</t>
  </si>
  <si>
    <t>d=N?p-i:p+i;V(""x0""</t>
  </si>
  <si>
    <t>r.x0=B?f:tt(f))</t>
  </si>
  <si>
    <t>V(""y0""</t>
  </si>
  <si>
    <t>r.y0=N?d:et(d))}else if(""resize-over-end-point""===D){var m=x+n</t>
  </si>
  <si>
    <t>g=N?b-i:b+i;V(""x1""</t>
  </si>
  <si>
    <t>r.x1=B?m:tt(m))</t>
  </si>
  <si>
    <t>r.y1=N?g:et(g))}}else{var _=function(t){return-1!==D.indexOf(t)}</t>
  </si>
  <si>
    <t>T=_(""n"")</t>
  </si>
  <si>
    <t>G=_(""s"")</t>
  </si>
  <si>
    <t>W=_(""w"")</t>
  </si>
  <si>
    <t>Y=_(""e"")</t>
  </si>
  <si>
    <t>X=T?M+i:M</t>
  </si>
  <si>
    <t>$=G?S+i:S</t>
  </si>
  <si>
    <t>J=W?E+n:E</t>
  </si>
  <si>
    <t>rt=Y?C+n:C;N&amp;&amp;(T&amp;&amp;(X=M-i)</t>
  </si>
  <si>
    <t>G&amp;&amp;($=S-i))</t>
  </si>
  <si>
    <t>(!N&amp;&amp;$-X&gt;F||N&amp;&amp;X-$&gt;F)&amp;&amp;(V(L</t>
  </si>
  <si>
    <t>r[L]=N?X:et(X))</t>
  </si>
  <si>
    <t>V(I</t>
  </si>
  <si>
    <t>r[I]=N?$:et($)))</t>
  </si>
  <si>
    <t>rt-J&gt;R&amp;&amp;(V(P</t>
  </si>
  <si>
    <t>r[P]=B?J:tt(J))</t>
  </si>
  <si>
    <t>V(z</t>
  </si>
  <si>
    <t>r[z]=B?rt:tt(rt)))}e.attr(""d""</t>
  </si>
  <si>
    <t>q)}function st(t</t>
  </si>
  <si>
    <t>e){(B||N)&amp;&amp;function(){var r=""path""!==e.type</t>
  </si>
  <si>
    <t>n=t.selectAll("".visual-cue"").data([0]);n.enter().append(""path"").attr({fill:""#fff""</t>
  </si>
  <si>
    <t>stroke:""#000""</t>
  </si>
  <si>
    <t>stroke-width"":1}).classed(""visual-cue""</t>
  </si>
  <si>
    <t>!0);var i=K(B?e.xanchor:a.midRange(r?[e.x0</t>
  </si>
  <si>
    <t>e.x1]:y.extractPathCoords(e.path</t>
  </si>
  <si>
    <t>g.paramIsX)))</t>
  </si>
  <si>
    <t>o=Q(N?e.yanchor:a.midRange(r?[e.y0</t>
  </si>
  <si>
    <t>e.y1]:y.extractPathCoords(e.path</t>
  </si>
  <si>
    <t>g.paramIsY)));if(i=y.roundPositionForSharpStrokeRendering(i</t>
  </si>
  <si>
    <t>o=y.roundPositionForSharpStrokeRendering(o</t>
  </si>
  <si>
    <t>B&amp;&amp;N){var s=""M""+(i-1-1)+""</t>
  </si>
  <si>
    <t>+(o-1-1)+""h-8v2h8 v8h2v-8 h8v-2h-8 v-8h-2 Z"";n.attr(""d""</t>
  </si>
  <si>
    <t>s)}else if(B){var l=""M""+(i-1-1)+""</t>
  </si>
  <si>
    <t>+(o-9-1)+""v18 h2 v-18 Z"";n.attr(""d""</t>
  </si>
  <si>
    <t>l)}else{var c=""M""+(i-9-1)+""</t>
  </si>
  <si>
    <t>+(o-1-1)+""h18 v2 h-18 Z"";n.attr(""d""</t>
  </si>
  <si>
    <t>c)}}()}function lt(t){t.selectAll("".visual-cue"").remove()}d.init(nt)</t>
  </si>
  <si>
    <t>rt.node().onmousemove=it}(t</t>
  </si>
  <si>
    <t>D):!0===u.editable&amp;&amp;F.style(""pointer-events""</t>
  </si>
  <si>
    <t>z||h.opacity(C)*E&lt;=.5?""stroke"":""all"");F.node().addEventListener(""click""</t>
  </si>
  <si>
    <t>e){if(b(t)){var r=+e.node().getAttribute(""data-index"");if(r&gt;=0){if(r===t._fullLayout._activeShapeIndex)return void A(t);t._fullLayout._activeShapeIndex=r</t>
  </si>
  <si>
    <t>t._fullLayout._deactivateShape=A</t>
  </si>
  <si>
    <t>x(t)}}}(t</t>
  </si>
  <si>
    <t>F)}))}u._input&amp;&amp;!0===u.visible&amp;&amp;(""above""===u.layer?M(t._fullLayout._shapeUpperLayer):""paper""===u.xref||""paper""===u.yref?M(t._fullLayout._shapeLowerLayer):""between""===u.layer?M(w.shapelayerBetween):w._hadPlotinfo?M((w.mainplotinfo||w).shapelayer):M(t._fullLayout._shapeLowerLayer))}function T(t</t>
  </si>
  <si>
    <t>r){var n=(r.xref+r.yref).replace(/paper/g</t>
  </si>
  <si>
    <t>").replace(/[xyz][1-9]* *domain/g</t>
  </si>
  <si>
    <t>");f.setClipUrl(t</t>
  </si>
  <si>
    <t>n?""clip""+e._fullLayout._uid+n:null</t>
  </si>
  <si>
    <t>e)}function k(t</t>
  </si>
  <si>
    <t>r){return t.replace(g.segmentRE</t>
  </si>
  <si>
    <t>(function(t){var n=0</t>
  </si>
  <si>
    <t>i=t.charAt(0)</t>
  </si>
  <si>
    <t>a=g.paramIsX[i]</t>
  </si>
  <si>
    <t>o=g.paramIsY[i]</t>
  </si>
  <si>
    <t>s=g.numParams[i];return i+t.substr(1).replace(g.paramRE</t>
  </si>
  <si>
    <t>(function(t){return n&gt;=s||(a[n]?t=e(t):o[n]&amp;&amp;(t=r(t))</t>
  </si>
  <si>
    <t>n++)</t>
  </si>
  <si>
    <t>t}))}))}function A(t){b(t)&amp;&amp;t._fullLayout._activeShapeIndex&gt;=0&amp;&amp;(u(t)</t>
  </si>
  <si>
    <t>delete t._fullLayout._activeShapeIndex</t>
  </si>
  <si>
    <t>x(t))}t.exports={draw:x</t>
  </si>
  <si>
    <t>drawOne:w</t>
  </si>
  <si>
    <t>eraseActiveShape:function(t){if(b(t)){u(t);var e=t._fullLayout._activeShapeIndex</t>
  </si>
  <si>
    <t>r=(t.layout||{}).shapes||[];if(e&lt;r.length){for(var n=[]</t>
  </si>
  <si>
    <t>a=0;a&lt;r.length;a++)a!==e&amp;&amp;n.push(r[a]);return delete t._fullLayout._activeShapeIndex</t>
  </si>
  <si>
    <t>{shapes:n})}}}</t>
  </si>
  <si>
    <t>drawLabel:c}}</t>
  </si>
  <si>
    <t>64101:function(t</t>
  </si>
  <si>
    <t>r){""use strict"";var n=r(13582).overrideAll</t>
  </si>
  <si>
    <t>i=r(9829)</t>
  </si>
  <si>
    <t>a=r(80337)</t>
  </si>
  <si>
    <t>l=r(3208).LF</t>
  </si>
  <si>
    <t>c=r(41235);t.exports=n({newshape:{visible:s({}</t>
  </si>
  <si>
    <t>i.visible</t>
  </si>
  <si>
    <t>dflt:!1}</t>
  </si>
  <si>
    <t>i.legend</t>
  </si>
  <si>
    <t>i.legendgroup</t>
  </si>
  <si>
    <t>i.legendgrouptitle.text</t>
  </si>
  <si>
    <t>font:a({})}</t>
  </si>
  <si>
    <t>i.legendrank</t>
  </si>
  <si>
    <t>i.legendwidth</t>
  </si>
  <si>
    <t>line:{color:{valType:""color""}</t>
  </si>
  <si>
    <t>dflt:4}</t>
  </si>
  <si>
    <t>{dflt:""solid""})}</t>
  </si>
  <si>
    <t>dflt:""evenodd""}</t>
  </si>
  <si>
    <t>dflt:""above""}</t>
  </si>
  <si>
    <t>drawdirection:{valType:""enumerated""</t>
  </si>
  <si>
    <t>values:[""ortho""</t>
  </si>
  <si>
    <t>horizontal""</t>
  </si>
  <si>
    <t>vertical""</t>
  </si>
  <si>
    <t>diagonal""]</t>
  </si>
  <si>
    <t>dflt:""diagonal""}</t>
  </si>
  <si>
    <t>name:s({}</t>
  </si>
  <si>
    <t>i.name</t>
  </si>
  <si>
    <t>dflt:""""}</t>
  </si>
  <si>
    <t>texttemplate:l({newshape:!0}</t>
  </si>
  <si>
    <t>{keys:Object.keys(c)})</t>
  </si>
  <si>
    <t>font:a({})</t>
  </si>
  <si>
    <t>end""]}</t>
  </si>
  <si>
    <t>dflt:""auto""}</t>
  </si>
  <si>
    <t>min:0}}}</t>
  </si>
  <si>
    <t>activeshape:{fillcolor:{valType:""color""</t>
  </si>
  <si>
    <t>dflt:""rgb(255</t>
  </si>
  <si>
    <t>255)""}</t>
  </si>
  <si>
    <t>dflt:.5}}}</t>
  </si>
  <si>
    <t>none""</t>
  </si>
  <si>
    <t>93391:function(t){""use strict"";t.exports={CIRCLE_SIDES:32</t>
  </si>
  <si>
    <t>i000:0</t>
  </si>
  <si>
    <t>i090:8</t>
  </si>
  <si>
    <t>i180:16</t>
  </si>
  <si>
    <t>i270:24</t>
  </si>
  <si>
    <t>cos45:Math.cos(Math.PI/4)</t>
  </si>
  <si>
    <t>sin45:Math.sin(Math.PI/4)</t>
  </si>
  <si>
    <t>SQRT2:Math.sqrt(2)}}</t>
  </si>
  <si>
    <t>85522:function(t</t>
  </si>
  <si>
    <t>r){""use strict"";var n=r(78766)</t>
  </si>
  <si>
    <t>i=r(34809);t.exports=function(t</t>
  </si>
  <si>
    <t>r){if(r(""newshape.visible"")</t>
  </si>
  <si>
    <t>r(""newshape.name"")</t>
  </si>
  <si>
    <t>r(""newshape.showlegend"")</t>
  </si>
  <si>
    <t>r(""newshape.legend"")</t>
  </si>
  <si>
    <t>r(""newshape.legendwidth"")</t>
  </si>
  <si>
    <t>r(""newshape.legendgroup"")</t>
  </si>
  <si>
    <t>r(""newshape.legendgrouptitle.text"")</t>
  </si>
  <si>
    <t>i.coerceFont(r</t>
  </si>
  <si>
    <t>newshape.legendgrouptitle.font"")</t>
  </si>
  <si>
    <t>r(""newshape.legendrank"")</t>
  </si>
  <si>
    <t>r(""newshape.drawdirection"")</t>
  </si>
  <si>
    <t>r(""newshape.layer"")</t>
  </si>
  <si>
    <t>r(""newshape.fillcolor"")</t>
  </si>
  <si>
    <t>r(""newshape.fillrule"")</t>
  </si>
  <si>
    <t>r(""newshape.opacity"")</t>
  </si>
  <si>
    <t>r(""newshape.line.width"")){var a=(t||{}).plot_bgcolor||""#FFF"";r(""newshape.line.color""</t>
  </si>
  <si>
    <t>n.contrast(a))</t>
  </si>
  <si>
    <t>r(""newshape.line.dash"")}var o=""drawline""===t.dragmode</t>
  </si>
  <si>
    <t>s=r(""newshape.label.text"")</t>
  </si>
  <si>
    <t>l=r(""newshape.label.texttemplate"");if(s||l){r(""newshape.label.textangle"");var c=r(""newshape.label.textposition""</t>
  </si>
  <si>
    <t>o?""middle"":""middle center"");r(""newshape.label.xanchor"")</t>
  </si>
  <si>
    <t>r(""newshape.label.yanchor""</t>
  </si>
  <si>
    <t>e){return t?""bottom"":-1!==e.indexOf(""top"")?""top"":-1!==e.indexOf(""bottom"")?""bottom"":""middle""}(o</t>
  </si>
  <si>
    <t>c))</t>
  </si>
  <si>
    <t>r(""newshape.label.padding"")</t>
  </si>
  <si>
    <t>newshape.label.font""</t>
  </si>
  <si>
    <t>e.font)}r(""activeshape.fillcolor"")</t>
  </si>
  <si>
    <t>r(""activeshape.opacity"")}}</t>
  </si>
  <si>
    <t>81055:function(t</t>
  </si>
  <si>
    <t>r){""use strict"";var n=r(26953)</t>
  </si>
  <si>
    <t>i=r(93391)</t>
  </si>
  <si>
    <t>a=i.CIRCLE_SIDES</t>
  </si>
  <si>
    <t>o=i.SQRT2</t>
  </si>
  <si>
    <t>s=r(49801)</t>
  </si>
  <si>
    <t>l=s.p2r</t>
  </si>
  <si>
    <t>c=s.r2p</t>
  </si>
  <si>
    <t>u=[0</t>
  </si>
  <si>
    <t>2]</t>
  </si>
  <si>
    <t>h=[0</t>
  </si>
  <si>
    <t>2];function f(t</t>
  </si>
  <si>
    <t>e){return Math.abs(t-e)&lt;=1e-6}function p(t</t>
  </si>
  <si>
    <t>e){var r=e[1]-t[1]</t>
  </si>
  <si>
    <t>n=e[2]-t[2];return Math.sqrt(r*r+n*n)}e.writePaths=function(t){var e=t.length;if(!e)return""M0</t>
  </si>
  <si>
    <t>0Z"";for(var r=""""</t>
  </si>
  <si>
    <t>n=0;n&lt;e;n++)for(var i=t[n].length</t>
  </si>
  <si>
    <t>a=0;a&lt;i;a++){var o=t[n][a][0];if(""Z""===o)r+=""Z"";else for(var s=t[n][a].length</t>
  </si>
  <si>
    <t>l=0;l&lt;s;l++){var c=l;""Q""===o||""S""===o?c=h[l]:""C""===o&amp;&amp;(c=u[l])</t>
  </si>
  <si>
    <t>r+=t[n][a][c]</t>
  </si>
  <si>
    <t>l&gt;0&amp;&amp;l&lt;s-1&amp;&amp;(r+=""</t>
  </si>
  <si>
    <t>)}}return r}</t>
  </si>
  <si>
    <t>e.readPaths=function(t</t>
  </si>
  <si>
    <t>i){var o</t>
  </si>
  <si>
    <t>h=n(t)</t>
  </si>
  <si>
    <t>f=[]</t>
  </si>
  <si>
    <t>p=-1</t>
  </si>
  <si>
    <t>m=0</t>
  </si>
  <si>
    <t>g=function(){s=d</t>
  </si>
  <si>
    <t>u=m};g();for(var y=0;y&lt;h.length;y++){var v</t>
  </si>
  <si>
    <t>w=[]</t>
  </si>
  <si>
    <t>T=h[y][0]</t>
  </si>
  <si>
    <t>k=T;switch(T){case""M"":f[++p]=[]</t>
  </si>
  <si>
    <t>d=+h[y][1]</t>
  </si>
  <si>
    <t>m=+h[y][2]</t>
  </si>
  <si>
    <t>w.push([k</t>
  </si>
  <si>
    <t>m])</t>
  </si>
  <si>
    <t>g();break;case""Q"":case""S"":v=+h[y][1]</t>
  </si>
  <si>
    <t>_=+h[y][2]</t>
  </si>
  <si>
    <t>d=+h[y][3]</t>
  </si>
  <si>
    <t>m=+h[y][4]</t>
  </si>
  <si>
    <t>_]);break;case""C"":v=+h[y][1]</t>
  </si>
  <si>
    <t>x=+h[y][3]</t>
  </si>
  <si>
    <t>b=+h[y][4]</t>
  </si>
  <si>
    <t>d=+h[y][5]</t>
  </si>
  <si>
    <t>m=+h[y][6]</t>
  </si>
  <si>
    <t>b]);break;case""T"":case""L"":d=+h[y][1]</t>
  </si>
  <si>
    <t>m]);break;case""H"":k=""L""</t>
  </si>
  <si>
    <t>m]);break;case""V"":k=""L""</t>
  </si>
  <si>
    <t>m=+h[y][1]</t>
  </si>
  <si>
    <t>m]);break;case""A"":k=""L"";var A=+h[y][1]</t>
  </si>
  <si>
    <t>M=+h[y][2];+h[y][4]||(A=-A</t>
  </si>
  <si>
    <t>M=-M);var S=d-A</t>
  </si>
  <si>
    <t>E=m;for(o=1;o&lt;=a/2;o++){var C=2*Math.PI*o/a;w.push([k</t>
  </si>
  <si>
    <t>S+A*Math.cos(C)</t>
  </si>
  <si>
    <t>E+M*Math.sin(C)])}break;case""Z"":d===s&amp;&amp;m===u||(d=s</t>
  </si>
  <si>
    <t>m=u</t>
  </si>
  <si>
    <t>m]))}for(var L=(r||{}).domain</t>
  </si>
  <si>
    <t>I=e._fullLayout._size</t>
  </si>
  <si>
    <t>P=r&amp;&amp;""pixel""===r.xsizemode</t>
  </si>
  <si>
    <t>z=r&amp;&amp;""pixel""===r.ysizemode</t>
  </si>
  <si>
    <t>O=!1===i</t>
  </si>
  <si>
    <t>D=0;D&lt;w.length;D++){for(o=0;o+2&lt;7;o+=2){var R=w[D][o+1]</t>
  </si>
  <si>
    <t>F=w[D][o+2];void 0!==R&amp;&amp;void 0!==F&amp;&amp;(d=R</t>
  </si>
  <si>
    <t>m=F</t>
  </si>
  <si>
    <t>r&amp;&amp;(r.xaxis&amp;&amp;r.xaxis.p2r?(O&amp;&amp;(R-=r.xaxis._offset)</t>
  </si>
  <si>
    <t>R=P?c(r.xaxis</t>
  </si>
  <si>
    <t>r.xanchor)+R:l(r.xaxis</t>
  </si>
  <si>
    <t>R)):(O&amp;&amp;(R-=I.l)</t>
  </si>
  <si>
    <t>L?R=L.x[0]+R/I.w:R/=I.w)</t>
  </si>
  <si>
    <t>r.yaxis&amp;&amp;r.yaxis.p2r?(O&amp;&amp;(F-=r.yaxis._offset)</t>
  </si>
  <si>
    <t>F=z?c(r.yaxis</t>
  </si>
  <si>
    <t>r.yanchor)-F:l(r.yaxis</t>
  </si>
  <si>
    <t>F)):(O&amp;&amp;(F-=I.t)</t>
  </si>
  <si>
    <t>F=L?L.y[1]-F/I.h:1-F/I.h))</t>
  </si>
  <si>
    <t>w[D][o+1]=R</t>
  </si>
  <si>
    <t>w[D][o+2]=F)}f[p].push(w[D].slice())}}return f}</t>
  </si>
  <si>
    <t>e.pointsOnRectangle=function(t){if(5!==t.length)return!1;for(var e=1;e&lt;3;e++){if(!f(t[0][e]-t[1][e]</t>
  </si>
  <si>
    <t>t[3][e]-t[2][e]))return!1;if(!f(t[0][e]-t[3][e]</t>
  </si>
  <si>
    <t>t[1][e]-t[2][e]))return!1}return!(!f(t[0][1]</t>
  </si>
  <si>
    <t>t[1][1])&amp;&amp;!f(t[0][1]</t>
  </si>
  <si>
    <t>t[3][1])||!(p(t[0]</t>
  </si>
  <si>
    <t>t[1])*p(t[0]</t>
  </si>
  <si>
    <t>t[3])))}</t>
  </si>
  <si>
    <t>e.pointsOnEllipse=function(t){var e=t.length;if(e!==a+1)return!1;e=a;for(var r=0;r&lt;e;r++){var n=(2*e-r)%e</t>
  </si>
  <si>
    <t>i=(e/2+n)%e</t>
  </si>
  <si>
    <t>o=(e/2+r)%e;if(!f(p(t[r]</t>
  </si>
  <si>
    <t>t[o])</t>
  </si>
  <si>
    <t>p(t[n]</t>
  </si>
  <si>
    <t>t[i])))return!1}return!0}</t>
  </si>
  <si>
    <t>e.handleEllipse=function(t</t>
  </si>
  <si>
    <t>n){if(!t)return[r</t>
  </si>
  <si>
    <t>n];var i=e.ellipseOver({x0:r[0]</t>
  </si>
  <si>
    <t>y0:r[1]</t>
  </si>
  <si>
    <t>x1:n[0]</t>
  </si>
  <si>
    <t>y1:n[1]})</t>
  </si>
  <si>
    <t>s=(i.x1+i.x0)/2</t>
  </si>
  <si>
    <t>l=(i.y1+i.y0)/2</t>
  </si>
  <si>
    <t>c=(i.x1-i.x0)/2</t>
  </si>
  <si>
    <t>u=(i.y1-i.y0)/2;c||(c=u/=o)</t>
  </si>
  <si>
    <t>u||(u=c/=o);for(var h=[]</t>
  </si>
  <si>
    <t>f=0;f&lt;a;f++){var p=2*f*Math.PI/a;h.push([s+c*Math.cos(p)</t>
  </si>
  <si>
    <t>l+u*Math.sin(p)])}return h}</t>
  </si>
  <si>
    <t>e.ellipseOver=function(t){var e=t.x0</t>
  </si>
  <si>
    <t>r=t.y0</t>
  </si>
  <si>
    <t>n=t.x1</t>
  </si>
  <si>
    <t>i=t.y1</t>
  </si>
  <si>
    <t>a=n-e</t>
  </si>
  <si>
    <t>s=i-r</t>
  </si>
  <si>
    <t>l=((e-=a)+n)/2</t>
  </si>
  <si>
    <t>c=((r-=s)+i)/2;return{x0:l-(a*=o)</t>
  </si>
  <si>
    <t>y0:c-(s*=o)</t>
  </si>
  <si>
    <t>x1:l+a</t>
  </si>
  <si>
    <t>y1:c+s}}</t>
  </si>
  <si>
    <t>e.fixDatesForPaths=function(t</t>
  </si>
  <si>
    <t>r){var n=""date""===e.type</t>
  </si>
  <si>
    <t>i=""date""===r.type;if(!n&amp;&amp;!i)return t;for(var a=0;a&lt;t.length;a++)for(var o=0;o&lt;t[a].length;o++)for(var s=0;s+2&lt;t[a][o].length;s+=2)n&amp;&amp;(t[a][o][s+1]=t[a][o][s+1].replace("" ""</t>
  </si>
  <si>
    <t>_""))</t>
  </si>
  <si>
    <t>i&amp;&amp;(t[a][o][s+2]=t[a][o][s+2].replace("" ""</t>
  </si>
  <si>
    <t>_""));return t}}</t>
  </si>
  <si>
    <t>87562:function(t</t>
  </si>
  <si>
    <t>r){""use strict"";var n=r(70414)</t>
  </si>
  <si>
    <t>i=n.drawMode</t>
  </si>
  <si>
    <t>a=n.openMode</t>
  </si>
  <si>
    <t>o=r(93391)</t>
  </si>
  <si>
    <t>s=o.i000</t>
  </si>
  <si>
    <t>l=o.i090</t>
  </si>
  <si>
    <t>c=o.i180</t>
  </si>
  <si>
    <t>u=o.i270</t>
  </si>
  <si>
    <t>h=o.cos45</t>
  </si>
  <si>
    <t>f=o.sin45</t>
  </si>
  <si>
    <t>p=r(49801)</t>
  </si>
  <si>
    <t>d=p.p2r</t>
  </si>
  <si>
    <t>m=p.r2p</t>
  </si>
  <si>
    <t>g=r(78534).clearOutline</t>
  </si>
  <si>
    <t>y=r(81055)</t>
  </si>
  <si>
    <t>v=y.readPaths</t>
  </si>
  <si>
    <t>x=y.writePaths</t>
  </si>
  <si>
    <t>_=y.ellipseOver</t>
  </si>
  <si>
    <t>b=y.fixDatesForPaths;function w(t</t>
  </si>
  <si>
    <t>i=t[0][0]</t>
  </si>
  <si>
    <t>o=e.gd</t>
  </si>
  <si>
    <t>p=i.getAttribute(""d"")</t>
  </si>
  <si>
    <t>g=o._fullLayout.newshape</t>
  </si>
  <si>
    <t>y=e.plotinfo</t>
  </si>
  <si>
    <t>w=e.isActiveShape</t>
  </si>
  <si>
    <t>T=y.xaxis</t>
  </si>
  <si>
    <t>k=y.yaxis</t>
  </si>
  <si>
    <t>A=!!y.domain||!y.xaxis</t>
  </si>
  <si>
    <t>M=!!y.domain||!y.yaxis</t>
  </si>
  <si>
    <t>S=a(r)</t>
  </si>
  <si>
    <t>E=v(p</t>
  </si>
  <si>
    <t>C={editable:!0</t>
  </si>
  <si>
    <t>visible:g.visible</t>
  </si>
  <si>
    <t>name:g.name</t>
  </si>
  <si>
    <t>showlegend:g.showlegend</t>
  </si>
  <si>
    <t>legend:g.legend</t>
  </si>
  <si>
    <t>legendwidth:g.legendwidth</t>
  </si>
  <si>
    <t>legendgroup:g.legendgroup</t>
  </si>
  <si>
    <t>legendgrouptitle:{text:g.legendgrouptitle.text</t>
  </si>
  <si>
    <t>font:g.legendgrouptitle.font}</t>
  </si>
  <si>
    <t>legendrank:g.legendrank</t>
  </si>
  <si>
    <t>label:g.label</t>
  </si>
  <si>
    <t>xref:A?""paper"":T._id</t>
  </si>
  <si>
    <t>yref:M?""paper"":k._id</t>
  </si>
  <si>
    <t>layer:g.layer</t>
  </si>
  <si>
    <t>opacity:g.opacity</t>
  </si>
  <si>
    <t>line:{color:g.line.color</t>
  </si>
  <si>
    <t>width:g.line.width</t>
  </si>
  <si>
    <t>dash:g.line.dash}};if(S||(C.fillcolor=g.fillcolor</t>
  </si>
  <si>
    <t>C.fillrule=g.fillrule)</t>
  </si>
  <si>
    <t>1===E.length&amp;&amp;(n=E[0])</t>
  </si>
  <si>
    <t>n&amp;&amp;5===n.length&amp;&amp;""drawrect""===r)C.type=""rect""</t>
  </si>
  <si>
    <t>C.x0=n[0][1]</t>
  </si>
  <si>
    <t>C.y0=n[0][2]</t>
  </si>
  <si>
    <t>C.x1=n[2][1]</t>
  </si>
  <si>
    <t>C.y1=n[2][2];else if(n&amp;&amp;""drawline""===r)C.type=""line""</t>
  </si>
  <si>
    <t>C.x1=n[1][1]</t>
  </si>
  <si>
    <t>C.y1=n[1][2];else if(n&amp;&amp;""drawcircle""===r){C.type=""circle"";var L=n[s][1]</t>
  </si>
  <si>
    <t>I=n[l][1]</t>
  </si>
  <si>
    <t>P=n[c][1]</t>
  </si>
  <si>
    <t>z=n[u][1]</t>
  </si>
  <si>
    <t>O=n[s][2]</t>
  </si>
  <si>
    <t>D=n[l][2]</t>
  </si>
  <si>
    <t>R=n[c][2]</t>
  </si>
  <si>
    <t>F=n[u][2]</t>
  </si>
  <si>
    <t>B=y.xaxis&amp;&amp;(""date""===y.xaxis.type||""log""===y.xaxis.type)</t>
  </si>
  <si>
    <t>N=y.yaxis&amp;&amp;(""date""===y.yaxis.type||""log""===y.yaxis.type);B&amp;&amp;(L=m(y.xaxis</t>
  </si>
  <si>
    <t>L)</t>
  </si>
  <si>
    <t>I=m(y.xaxis</t>
  </si>
  <si>
    <t>I)</t>
  </si>
  <si>
    <t>P=m(y.xaxis</t>
  </si>
  <si>
    <t>z=m(y.xaxis</t>
  </si>
  <si>
    <t>z))</t>
  </si>
  <si>
    <t>N&amp;&amp;(O=m(y.yaxis</t>
  </si>
  <si>
    <t>O)</t>
  </si>
  <si>
    <t>D=m(y.yaxis</t>
  </si>
  <si>
    <t>R=m(y.yaxis</t>
  </si>
  <si>
    <t>F=m(y.yaxis</t>
  </si>
  <si>
    <t>F));var j=(I+z)/2</t>
  </si>
  <si>
    <t>U=(O+R)/2</t>
  </si>
  <si>
    <t>V=_({x0:j</t>
  </si>
  <si>
    <t>y0:U</t>
  </si>
  <si>
    <t>x1:j+(z-I+P-L)/2*h</t>
  </si>
  <si>
    <t>y1:U+(F-D+R-O)/2*f});B&amp;&amp;(V.x0=d(y.xaxis</t>
  </si>
  <si>
    <t>V.x0)</t>
  </si>
  <si>
    <t>V.x1=d(y.xaxis</t>
  </si>
  <si>
    <t>V.x1))</t>
  </si>
  <si>
    <t>N&amp;&amp;(V.y0=d(y.yaxis</t>
  </si>
  <si>
    <t>V.y0)</t>
  </si>
  <si>
    <t>V.y1=d(y.yaxis</t>
  </si>
  <si>
    <t>V.y1))</t>
  </si>
  <si>
    <t>C.x0=V.x0</t>
  </si>
  <si>
    <t>C.y0=V.y0</t>
  </si>
  <si>
    <t>C.x1=V.x1</t>
  </si>
  <si>
    <t>C.y1=V.y1}else C.type=""path""</t>
  </si>
  <si>
    <t>T&amp;&amp;k&amp;&amp;b(E</t>
  </si>
  <si>
    <t>C.path=x(E)</t>
  </si>
  <si>
    <t>n=null;return C}t.exports={newShapes:function(t</t>
  </si>
  <si>
    <t>e){if(t.length&amp;&amp;t[0][0]){var r=e.gd</t>
  </si>
  <si>
    <t>n=e.isActiveShape</t>
  </si>
  <si>
    <t>a=e.dragmode</t>
  </si>
  <si>
    <t>o=(r.layout||{}).shapes||[];if(!i(a)&amp;&amp;void 0!==n){var s=r._fullLayout._activeShapeIndex;if(s&lt;o.length)switch(r._fullLayout.shapes[s].type){case""rect"":a=""drawrect"";break;case""circle"":a=""drawcircle"";break;case""line"":a=""drawline"";break;case""path"":var l=o[s].path||"""";a=""Z""===l[l.length-1]?""drawclosedpath"":""drawopenpath""}}var c=w(t</t>
  </si>
  <si>
    <t>a);g(r);for(var u=e.editHelpers</t>
  </si>
  <si>
    <t>h=(u||{}).modifyItem</t>
  </si>
  <si>
    <t>p=0;p&lt;o.length;p++){var d=r._fullLayout.shapes[p];if(f[p]=d._input</t>
  </si>
  <si>
    <t>void 0!==n&amp;&amp;p===r._fullLayout._activeShapeIndex){var m=c;switch(d.type){case""line"":case""rect"":case""circle"":h(""x0""</t>
  </si>
  <si>
    <t>m.x0-(d.x0shift||0))</t>
  </si>
  <si>
    <t>h(""x1""</t>
  </si>
  <si>
    <t>m.x1-(d.x1shift||0))</t>
  </si>
  <si>
    <t>h(""y0""</t>
  </si>
  <si>
    <t>m.y0-(d.y0shift||0))</t>
  </si>
  <si>
    <t>h(""y1""</t>
  </si>
  <si>
    <t>m.y1-(d.y1shift||0));break;case""path"":h(""path""</t>
  </si>
  <si>
    <t>m.path)}}}return void 0===n?(f.push(c)</t>
  </si>
  <si>
    <t>f):u?u.getUpdateObj():{}}}</t>
  </si>
  <si>
    <t>createShapeObj:w}}</t>
  </si>
  <si>
    <t>78534:function(t){""use strict"";t.exports={clearOutlineControllers:function(t){var e=t._fullLayout._zoomlayer;e&amp;&amp;e.selectAll("".outline-controllers"").remove()}</t>
  </si>
  <si>
    <t>clearOutline:function(t){var e=t._fullLayout._zoomlayer;e&amp;&amp;e.selectAll("".select-outline"").remove()</t>
  </si>
  <si>
    <t>t._fullLayout._outlining=!1}}}</t>
  </si>
  <si>
    <t>49728:function(t</t>
  </si>
  <si>
    <t>r){""use strict"";var n=r(2956)</t>
  </si>
  <si>
    <t>a=r(29714);function o(t</t>
  </si>
  <si>
    <t>e){var r=0;return(e=e||0)&amp;&amp;t&amp;&amp;(""category""===t.type||""multicategory""===t.type)&amp;&amp;(r=(t.r2p(1)-t.r2p(0))*e)</t>
  </si>
  <si>
    <t>r}e.rangeToShapePosition=function(t){return""log""===t.type?t.r2d:function(t){return t}}</t>
  </si>
  <si>
    <t>e.shapePositionToRange=function(t){return""log""===t.type?t.d2r:function(t){return t}}</t>
  </si>
  <si>
    <t>e.decodeDate=function(t){return function(e){return e.replace&amp;&amp;(e=e.replace(""_""</t>
  </si>
  <si>
    <t>t(e)}}</t>
  </si>
  <si>
    <t>e.encodeDate=function(t){return function(e){return t(e).replace("" ""</t>
  </si>
  <si>
    <t>_"")}}</t>
  </si>
  <si>
    <t>e.extractPathCoords=function(t</t>
  </si>
  <si>
    <t>r){var a=[];return t.match(n.segmentRE).forEach((function(t){var o=e[t.charAt(0)].drawn;if(void 0!==o){var s=t.substr(1).match(n.paramRE);if(s&amp;&amp;!(s.length&lt;o)){var l=s[o]</t>
  </si>
  <si>
    <t>c=r?l:i.cleanNumber(l);a.push(c)}}}))</t>
  </si>
  <si>
    <t>e.getDataToPixel=function(t</t>
  </si>
  <si>
    <t>a){var s</t>
  </si>
  <si>
    <t>l=t._fullLayout._size;if(r)if(""domain""===a)s=function(t){return r._length*(i?1-t:t)+r._offset};else{var c=e.shapePositionToRange(r);s=function(t){var e=o(r</t>
  </si>
  <si>
    <t>n);return r._offset+r.r2p(c(t</t>
  </si>
  <si>
    <t>!0))+e}</t>
  </si>
  <si>
    <t>date""===r.type&amp;&amp;(s=e.decodeDate(s))}else s=i?function(t){return l.t+l.h*(1-t)}:function(t){return l.l+l.w*t};return s}</t>
  </si>
  <si>
    <t>e.getPixelToData=function(t</t>
  </si>
  <si>
    <t>o=t._fullLayout._size;if(r)if(""domain""===i)a=function(t){var e=(t-r._offset)/r._length;return n?1-e:e};else{var s=e.rangeToShapePosition(r);a=function(t){return s(r.p2r(t-r._offset))}}else a=n?function(t){return 1-(t-o.t)/o.h}:function(t){return(t-o.l)/o.w};return a}</t>
  </si>
  <si>
    <t>e.roundPositionForSharpStrokeRendering=function(t</t>
  </si>
  <si>
    <t>e){var r=1===Math.round(e%2)</t>
  </si>
  <si>
    <t>n=Math.round(t);return r?n+.5:n}</t>
  </si>
  <si>
    <t>e.makeShapesOptionsAndPlotinfo=function(t</t>
  </si>
  <si>
    <t>e){var r=t._fullLayout.shapes[e]||{}</t>
  </si>
  <si>
    <t>n=t._fullLayout._plots[r.xref+r.yref];return n?n._hadPlotinfo=!0:(n={}</t>
  </si>
  <si>
    <t>r.xref&amp;&amp;""paper""!==r.xref&amp;&amp;(n.xaxis=t._fullLayout[r.xref+""axis""])</t>
  </si>
  <si>
    <t>r.yref&amp;&amp;""paper""!==r.yref&amp;&amp;(n.yaxis=t._fullLayout[r.yref+""axis""]))</t>
  </si>
  <si>
    <t>n.xsizemode=r.xsizemode</t>
  </si>
  <si>
    <t>n.ysizemode=r.ysizemode</t>
  </si>
  <si>
    <t>n.xanchor=r.xanchor</t>
  </si>
  <si>
    <t>n.yanchor=r.yanchor</t>
  </si>
  <si>
    <t>{options:r</t>
  </si>
  <si>
    <t>plotinfo:n}}</t>
  </si>
  <si>
    <t>e.makeSelectionsOptionsAndPlotinfo=function(t</t>
  </si>
  <si>
    <t>e){var r=t._fullLayout.selections[e]||{}</t>
  </si>
  <si>
    <t>r.xref&amp;&amp;(n.xaxis=t._fullLayout[r.xref+""axis""])</t>
  </si>
  <si>
    <t>r.yref&amp;&amp;(n.yaxis=t._fullLayout[r.yref+""axis""]))</t>
  </si>
  <si>
    <t>e.getPathString=function(t</t>
  </si>
  <si>
    <t>r){var s</t>
  </si>
  <si>
    <t>m=r.type</t>
  </si>
  <si>
    <t>g=a.getRefType(r.xref)</t>
  </si>
  <si>
    <t>y=a.getRefType(r.yref)</t>
  </si>
  <si>
    <t>v=a.getFromId(t</t>
  </si>
  <si>
    <t>x=a.getFromId(t</t>
  </si>
  <si>
    <t>_=t._fullLayout._size</t>
  </si>
  <si>
    <t>b=o(v</t>
  </si>
  <si>
    <t>r.x0shift)</t>
  </si>
  <si>
    <t>w=o(v</t>
  </si>
  <si>
    <t>r.x1shift)</t>
  </si>
  <si>
    <t>T=o(x</t>
  </si>
  <si>
    <t>r.y0shift)</t>
  </si>
  <si>
    <t>k=o(x</t>
  </si>
  <si>
    <t>r.y1shift);if(v?""domain""===g?l=function(t){return v._offset+v._length*t}:(s=e.shapePositionToRange(v)</t>
  </si>
  <si>
    <t>l=function(t){return v._offset+v.r2p(s(t</t>
  </si>
  <si>
    <t>!0))}):l=function(t){return _.l+_.w*t}</t>
  </si>
  <si>
    <t>x?""domain""===y?u=function(t){return x._offset+x._length*(1-t)}:(c=e.shapePositionToRange(x)</t>
  </si>
  <si>
    <t>u=function(t){return x._offset+x.r2p(c(t</t>
  </si>
  <si>
    <t>!0))}):u=function(t){return _.t+_.h*(1-t)}</t>
  </si>
  <si>
    <t>path""===m)return v&amp;&amp;""date""===v.type&amp;&amp;(l=e.decodeDate(l))</t>
  </si>
  <si>
    <t>x&amp;&amp;""date""===x.type&amp;&amp;(u=e.decodeDate(u))</t>
  </si>
  <si>
    <t>r){var a=t.path</t>
  </si>
  <si>
    <t>o=t.xsizemode</t>
  </si>
  <si>
    <t>s=t.ysizemode</t>
  </si>
  <si>
    <t>l=t.xanchor</t>
  </si>
  <si>
    <t>c=t.yanchor;return a.replace(n.segmentRE</t>
  </si>
  <si>
    <t>(function(t){var a=0</t>
  </si>
  <si>
    <t>u=t.charAt(0)</t>
  </si>
  <si>
    <t>h=n.paramIsX[u]</t>
  </si>
  <si>
    <t>f=n.paramIsY[u]</t>
  </si>
  <si>
    <t>p=n.numParams[u]</t>
  </si>
  <si>
    <t>d=t.substr(1).replace(n.paramRE</t>
  </si>
  <si>
    <t>(function(t){return h[a]?t=""pixel""===o?e(l)+Number(t):e(t):f[a]&amp;&amp;(t=""pixel""===s?r(c)-Number(t):r(t))</t>
  </si>
  <si>
    <t>++a&gt;p&amp;&amp;(t=""X"")</t>
  </si>
  <si>
    <t>t}));return a&gt;p&amp;&amp;(d=d.replace(/[\s</t>
  </si>
  <si>
    <t>]*X.*/</t>
  </si>
  <si>
    <t>i.log(""Ignoring extra params in segment ""+t))</t>
  </si>
  <si>
    <t>u+d}))}(r</t>
  </si>
  <si>
    <t>u);if(""pixel""===r.xsizemode){var A=l(r.xanchor);h=A+r.x0+b</t>
  </si>
  <si>
    <t>f=A+r.x1+w}else h=l(r.x0)+b</t>
  </si>
  <si>
    <t>f=l(r.x1)+w;if(""pixel""===r.ysizemode){var M=u(r.yanchor);p=M-r.y0+T</t>
  </si>
  <si>
    <t>d=M-r.y1+k}else p=u(r.y0)+T</t>
  </si>
  <si>
    <t>d=u(r.y1)+k;if(""line""===m)return""M""+h+""</t>
  </si>
  <si>
    <t>+p+""L""+f+""</t>
  </si>
  <si>
    <t>+d;if(""rect""===m)return""M""+h+""</t>
  </si>
  <si>
    <t>+p+""H""+f+""V""+d+""H""+h+""Z"";var S=(h+f)/2</t>
  </si>
  <si>
    <t>E=(p+d)/2</t>
  </si>
  <si>
    <t>C=Math.abs(S-h)</t>
  </si>
  <si>
    <t>L=Math.abs(E-p)</t>
  </si>
  <si>
    <t>I=""A""+C+""</t>
  </si>
  <si>
    <t>P=S+C+""</t>
  </si>
  <si>
    <t>+E;return""M""+P+I+"" 0 1</t>
  </si>
  <si>
    <t>1 ""+S+""</t>
  </si>
  <si>
    <t>+(E-L)+I+"" 0 0</t>
  </si>
  <si>
    <t>1 ""+P+""Z""}}</t>
  </si>
  <si>
    <t>43701:function(t</t>
  </si>
  <si>
    <t>r){""use strict"";var n=r(28231);t.exports={moduleType:""component""</t>
  </si>
  <si>
    <t>name:""shapes""</t>
  </si>
  <si>
    <t>layoutAttributes:r(43144)</t>
  </si>
  <si>
    <t>supplyLayoutDefaults:r(74367)</t>
  </si>
  <si>
    <t>supplyDrawNewShapeDefaults:r(85522)</t>
  </si>
  <si>
    <t>includeBasePlot:r(20706)(""shapes"")</t>
  </si>
  <si>
    <t>calcAutorange:r(44959)</t>
  </si>
  <si>
    <t>drawOne:n.drawOne}}</t>
  </si>
  <si>
    <t>41235:function(t){""use strict"";function e(t</t>
  </si>
  <si>
    <t>e){return e?e.d2l(t):t}function r(t</t>
  </si>
  <si>
    <t>e){return e?e.l2d(t):t}function n(t){return t.x0shift||0}function i(t){return t.x1shift||0}function a(t){return t.y0shift||0}function o(t){return t.y1shift||0}function s(t</t>
  </si>
  <si>
    <t>r){return e(t.x1</t>
  </si>
  <si>
    <t>r)+i(t)-e(t.x0</t>
  </si>
  <si>
    <t>r)-n(t)}function l(t</t>
  </si>
  <si>
    <t>n){return e(t.y1</t>
  </si>
  <si>
    <t>n)+o(t)-e(t.y0</t>
  </si>
  <si>
    <t>n)-a(t)}t.exports={x0:function(t){return t.x0}</t>
  </si>
  <si>
    <t>x1:function(t){return t.x1}</t>
  </si>
  <si>
    <t>y0:function(t){return t.y0}</t>
  </si>
  <si>
    <t>y1:function(t){return t.y1}</t>
  </si>
  <si>
    <t>slope:function(t</t>
  </si>
  <si>
    <t>r){return""line""!==t.type?void 0:l(t</t>
  </si>
  <si>
    <t>r)/s(t</t>
  </si>
  <si>
    <t>dx:s</t>
  </si>
  <si>
    <t>dy:l</t>
  </si>
  <si>
    <t>width:function(t</t>
  </si>
  <si>
    <t>e){return Math.abs(s(t</t>
  </si>
  <si>
    <t>e))}</t>
  </si>
  <si>
    <t>height:function(t</t>
  </si>
  <si>
    <t>r){return Math.abs(l(t</t>
  </si>
  <si>
    <t>length:function(t</t>
  </si>
  <si>
    <t>r){return""line""!==t.type?void 0:Math.sqrt(Math.pow(s(t</t>
  </si>
  <si>
    <t>2)+Math.pow(l(t</t>
  </si>
  <si>
    <t>2))}</t>
  </si>
  <si>
    <t>xcenter:function(t</t>
  </si>
  <si>
    <t>a){return r((e(t.x1</t>
  </si>
  <si>
    <t>a)+i(t)+e(t.x0</t>
  </si>
  <si>
    <t>a)+n(t))/2</t>
  </si>
  <si>
    <t>a)}</t>
  </si>
  <si>
    <t>ycenter:function(t</t>
  </si>
  <si>
    <t>i){return r((e(t.y1</t>
  </si>
  <si>
    <t>i)+o(t)+e(t.y0</t>
  </si>
  <si>
    <t>i)+a(t))/2</t>
  </si>
  <si>
    <t>i)}}}</t>
  </si>
  <si>
    <t>8606:function(t</t>
  </si>
  <si>
    <t>i=r(57891)</t>
  </si>
  <si>
    <t>a=r(93049).extendDeepAll</t>
  </si>
  <si>
    <t>o=r(13582).overrideAll</t>
  </si>
  <si>
    <t>s=r(49722)</t>
  </si>
  <si>
    <t>c=r(64194)</t>
  </si>
  <si>
    <t>u=l(""step""</t>
  </si>
  <si>
    <t>dflt:!0}</t>
  </si>
  <si>
    <t>method:{valType:""enumerated""</t>
  </si>
  <si>
    <t>values:[""restyle""</t>
  </si>
  <si>
    <t>relayout""</t>
  </si>
  <si>
    <t>animate""</t>
  </si>
  <si>
    <t>update""</t>
  </si>
  <si>
    <t>skip""]</t>
  </si>
  <si>
    <t>dflt:""restyle""}</t>
  </si>
  <si>
    <t>args:{valType:""info_array""</t>
  </si>
  <si>
    <t>items:[{valType:""any""}</t>
  </si>
  <si>
    <t>{valType:""any""}</t>
  </si>
  <si>
    <t>{valType:""any""}]}</t>
  </si>
  <si>
    <t>label:{valType:""string""}</t>
  </si>
  <si>
    <t>value:{valType:""string""}</t>
  </si>
  <si>
    <t>execute:{valType:""boolean""</t>
  </si>
  <si>
    <t>dflt:!0}});t.exports=o(l(""slider""</t>
  </si>
  <si>
    <t>active:{valType:""number""</t>
  </si>
  <si>
    <t>steps:u</t>
  </si>
  <si>
    <t>pad:a(i({editType:""arraydraw""})</t>
  </si>
  <si>
    <t>{t:{dflt:20}})</t>
  </si>
  <si>
    <t>dflt:""left""}</t>
  </si>
  <si>
    <t>dflt:""top""}</t>
  </si>
  <si>
    <t>transition:{duration:{valType:""number""</t>
  </si>
  <si>
    <t>dflt:150}</t>
  </si>
  <si>
    <t>easing:{valType:""enumerated""</t>
  </si>
  <si>
    <t>values:s.transition.easing.values</t>
  </si>
  <si>
    <t>dflt:""cubic-in-out""}}</t>
  </si>
  <si>
    <t>currentvalue:{visible:{valType:""boolean""</t>
  </si>
  <si>
    <t>offset:{valType:""number""</t>
  </si>
  <si>
    <t>prefix:{valType:""string""}</t>
  </si>
  <si>
    <t>suffix:{valType:""string""}</t>
  </si>
  <si>
    <t>font:n({})}</t>
  </si>
  <si>
    <t>font:n({})</t>
  </si>
  <si>
    <t>activebgcolor:{valType:""color""</t>
  </si>
  <si>
    <t>dflt:c.gripBgActiveColor}</t>
  </si>
  <si>
    <t>dflt:c.railBgColor}</t>
  </si>
  <si>
    <t>dflt:c.railBorderColor}</t>
  </si>
  <si>
    <t>dflt:c.railBorderWidth}</t>
  </si>
  <si>
    <t>ticklen:{valType:""number""</t>
  </si>
  <si>
    <t>dflt:c.tickLength}</t>
  </si>
  <si>
    <t>tickcolor:{valType:""color""</t>
  </si>
  <si>
    <t>dflt:c.tickColor}</t>
  </si>
  <si>
    <t>tickwidth:{valType:""number""</t>
  </si>
  <si>
    <t>minorticklen:{valType:""number""</t>
  </si>
  <si>
    <t>dflt:c.minorTickLength}})</t>
  </si>
  <si>
    <t>64194:function(t){""use strict"";t.exports={name:""sliders""</t>
  </si>
  <si>
    <t>containerClassName:""slider-container""</t>
  </si>
  <si>
    <t>groupClassName:""slider-group""</t>
  </si>
  <si>
    <t>inputAreaClass:""slider-input-area""</t>
  </si>
  <si>
    <t>railRectClass:""slider-rail-rect""</t>
  </si>
  <si>
    <t>railTouchRectClass:""slider-rail-touch-rect""</t>
  </si>
  <si>
    <t>gripRectClass:""slider-grip-rect""</t>
  </si>
  <si>
    <t>tickRectClass:""slider-tick-rect""</t>
  </si>
  <si>
    <t>inputProxyClass:""slider-input-proxy""</t>
  </si>
  <si>
    <t>labelsClass:""slider-labels""</t>
  </si>
  <si>
    <t>labelGroupClass:""slider-label-group""</t>
  </si>
  <si>
    <t>labelClass:""slider-label""</t>
  </si>
  <si>
    <t>currentValueClass:""slider-current-value""</t>
  </si>
  <si>
    <t>railHeight:5</t>
  </si>
  <si>
    <t>menuIndexAttrName:""slider-active-index""</t>
  </si>
  <si>
    <t>autoMarginIdRoot:""slider-""</t>
  </si>
  <si>
    <t>minWidth:30</t>
  </si>
  <si>
    <t>minHeight:30</t>
  </si>
  <si>
    <t>textPadX:40</t>
  </si>
  <si>
    <t>arrowOffsetX:4</t>
  </si>
  <si>
    <t>railRadius:2</t>
  </si>
  <si>
    <t>railWidth:5</t>
  </si>
  <si>
    <t>railBorder:4</t>
  </si>
  <si>
    <t>railBorderWidth:1</t>
  </si>
  <si>
    <t>railBorderColor:""#bec8d9""</t>
  </si>
  <si>
    <t>railBgColor:""#f8fafc""</t>
  </si>
  <si>
    <t>railInset:8</t>
  </si>
  <si>
    <t>stepInset:10</t>
  </si>
  <si>
    <t>gripRadius:10</t>
  </si>
  <si>
    <t>gripWidth:20</t>
  </si>
  <si>
    <t>gripHeight:20</t>
  </si>
  <si>
    <t>gripBorder:20</t>
  </si>
  <si>
    <t>gripBorderWidth:1</t>
  </si>
  <si>
    <t>gripBorderColor:""#bec8d9""</t>
  </si>
  <si>
    <t>gripBgColor:""#f6f8fa""</t>
  </si>
  <si>
    <t>gripBgActiveColor:""#dbdde0""</t>
  </si>
  <si>
    <t>labelPadding:8</t>
  </si>
  <si>
    <t>labelOffset:0</t>
  </si>
  <si>
    <t>tickWidth:1</t>
  </si>
  <si>
    <t>tickColor:""#333""</t>
  </si>
  <si>
    <t>tickOffset:25</t>
  </si>
  <si>
    <t>tickLength:7</t>
  </si>
  <si>
    <t>minorTickOffset:25</t>
  </si>
  <si>
    <t>minorTickColor:""#333""</t>
  </si>
  <si>
    <t>minorTickLength:4</t>
  </si>
  <si>
    <t>currentValuePadding:8</t>
  </si>
  <si>
    <t>currentValueInset:0}}</t>
  </si>
  <si>
    <t>74537:function(t</t>
  </si>
  <si>
    <t>i=r(59008)</t>
  </si>
  <si>
    <t>a=r(8606)</t>
  </si>
  <si>
    <t>o=r(64194).name</t>
  </si>
  <si>
    <t>s=a.steps;function l(t</t>
  </si>
  <si>
    <t>r){function o(r</t>
  </si>
  <si>
    <t>i)}for(var s=i(t</t>
  </si>
  <si>
    <t>{name:""steps""</t>
  </si>
  <si>
    <t>handleItemDefaults:c})</t>
  </si>
  <si>
    <t>u=0;u&lt;s.length;u++)s[u].visible&amp;&amp;l++;if(l&lt;2?e.visible=!1:o(""visible"")){e._stepCount=l;var h=e._visibleSteps=n.filterVisible(s);(s[o(""active"")]||{}).visible||(e.active=h[0]._index)</t>
  </si>
  <si>
    <t>o(""x"")</t>
  </si>
  <si>
    <t>o(""y"")</t>
  </si>
  <si>
    <t>o(""xanchor"")</t>
  </si>
  <si>
    <t>o(""yanchor"")</t>
  </si>
  <si>
    <t>o(""len"")</t>
  </si>
  <si>
    <t>o(""lenmode"")</t>
  </si>
  <si>
    <t>o(""pad.t"")</t>
  </si>
  <si>
    <t>o(""pad.r"")</t>
  </si>
  <si>
    <t>o(""pad.b"")</t>
  </si>
  <si>
    <t>o(""pad.l"")</t>
  </si>
  <si>
    <t>n.coerceFont(o</t>
  </si>
  <si>
    <t>r.font)</t>
  </si>
  <si>
    <t>o(""currentvalue.visible"")&amp;&amp;(o(""currentvalue.xanchor"")</t>
  </si>
  <si>
    <t>o(""currentvalue.prefix"")</t>
  </si>
  <si>
    <t>o(""currentvalue.suffix"")</t>
  </si>
  <si>
    <t>o(""currentvalue.offset"")</t>
  </si>
  <si>
    <t>currentvalue.font""</t>
  </si>
  <si>
    <t>e.font))</t>
  </si>
  <si>
    <t>o(""transition.duration"")</t>
  </si>
  <si>
    <t>o(""transition.easing"")</t>
  </si>
  <si>
    <t>o(""bgcolor"")</t>
  </si>
  <si>
    <t>o(""activebgcolor"")</t>
  </si>
  <si>
    <t>o(""bordercolor"")</t>
  </si>
  <si>
    <t>o(""borderwidth"")</t>
  </si>
  <si>
    <t>o(""ticklen"")</t>
  </si>
  <si>
    <t>o(""tickwidth"")</t>
  </si>
  <si>
    <t>o(""tickcolor"")</t>
  </si>
  <si>
    <t>o(""minorticklen"")}}function c(t</t>
  </si>
  <si>
    <t>i)}if(""skip""===t.method||Array.isArray(t.args)?r(""visible""):e.visible=!1){r(""method"")</t>
  </si>
  <si>
    <t>r(""args"");var i=r(""label""</t>
  </si>
  <si>
    <t>step-""+e._index);r(""value""</t>
  </si>
  <si>
    <t>r(""execute"")}}t.exports=function(t</t>
  </si>
  <si>
    <t>{name:o</t>
  </si>
  <si>
    <t>44097:function(t</t>
  </si>
  <si>
    <t>a=r(78766)</t>
  </si>
  <si>
    <t>s=r(34809)</t>
  </si>
  <si>
    <t>l=s.strTranslate</t>
  </si>
  <si>
    <t>c=r(30635)</t>
  </si>
  <si>
    <t>u=r(78032).arrayEditor</t>
  </si>
  <si>
    <t>h=r(64194)</t>
  </si>
  <si>
    <t>m=f.FROM_BR;function g(t){return h.autoMarginIdRoot+t._index}function y(t){return t._index}function v(t</t>
  </si>
  <si>
    <t>e){var r=o.tester.selectAll(""g.""+h.labelGroupClass).data(e._visibleSteps);r.enter().append(""g"").classed(h.labelGroupClass</t>
  </si>
  <si>
    <t>!0);var a=0</t>
  </si>
  <si>
    <t>l=0;r.each((function(t){var r=b(n.select(this)</t>
  </si>
  <si>
    <t>{step:t}</t>
  </si>
  <si>
    <t>e).node();if(r){var i=o.bBox(r);l=Math.max(l</t>
  </si>
  <si>
    <t>i.height)</t>
  </si>
  <si>
    <t>i.width)}}))</t>
  </si>
  <si>
    <t>r.remove();var u=e._dims={};u.inputAreaWidth=Math.max(h.railWidth</t>
  </si>
  <si>
    <t>h.gripHeight);var f=t._fullLayout._size;u.lx=f.l+f.w*e.x</t>
  </si>
  <si>
    <t>u.ly=f.t+f.h*(1-e.y)</t>
  </si>
  <si>
    <t>fraction""===e.lenmode?u.outerLength=Math.round(f.w*e.len):u.outerLength=e.len</t>
  </si>
  <si>
    <t>u.inputAreaStart=0</t>
  </si>
  <si>
    <t>u.inputAreaLength=Math.round(u.outerLength-e.pad.l-e.pad.r);var p=(u.inputAreaLength-2*h.stepInset)/(e._stepCount-1)</t>
  </si>
  <si>
    <t>y=a+h.labelPadding;if(u.labelStride=Math.max(1</t>
  </si>
  <si>
    <t>Math.ceil(y/p))</t>
  </si>
  <si>
    <t>u.labelHeight=l</t>
  </si>
  <si>
    <t>u.currentValueMaxWidth=0</t>
  </si>
  <si>
    <t>u.currentValueHeight=0</t>
  </si>
  <si>
    <t>u.currentValueTotalHeight=0</t>
  </si>
  <si>
    <t>u.currentValueMaxLines=1</t>
  </si>
  <si>
    <t>e.currentvalue.visible){var v=o.tester.append(""g"");r.each((function(t){var r=x(v</t>
  </si>
  <si>
    <t>t.label)</t>
  </si>
  <si>
    <t>n=r.node()&amp;&amp;o.bBox(r.node())||{width:0</t>
  </si>
  <si>
    <t>i=c.lineCount(r);u.currentValueMaxWidth=Math.max(u.currentValueMaxWidth</t>
  </si>
  <si>
    <t>Math.ceil(n.width))</t>
  </si>
  <si>
    <t>u.currentValueHeight=Math.max(u.currentValueHeight</t>
  </si>
  <si>
    <t>Math.ceil(n.height))</t>
  </si>
  <si>
    <t>u.currentValueMaxLines=Math.max(u.currentValueMaxLines</t>
  </si>
  <si>
    <t>u.currentValueTotalHeight=u.currentValueHeight+e.currentvalue.offset</t>
  </si>
  <si>
    <t>v.remove()}u.height=u.currentValueTotalHeight+h.tickOffset+e.ticklen+h.labelOffset+u.labelHeight+e.pad.t+e.pad.b;var _=""left"";s.isRightAnchor(e)&amp;&amp;(u.lx-=u.outerLength</t>
  </si>
  <si>
    <t>_=""right"")</t>
  </si>
  <si>
    <t>s.isCenterAnchor(e)&amp;&amp;(u.lx-=u.outerLength/2</t>
  </si>
  <si>
    <t>_=""center"");var w=""top"";s.isBottomAnchor(e)&amp;&amp;(u.ly-=u.height</t>
  </si>
  <si>
    <t>s.isMiddleAnchor(e)&amp;&amp;(u.ly-=u.height/2</t>
  </si>
  <si>
    <t>u.outerLength=Math.ceil(u.outerLength)</t>
  </si>
  <si>
    <t>u.height=Math.ceil(u.height)</t>
  </si>
  <si>
    <t>u.lx=Math.round(u.lx)</t>
  </si>
  <si>
    <t>u.ly=Math.round(u.ly);var T={y:e.y</t>
  </si>
  <si>
    <t>b:u.height*m[w]</t>
  </si>
  <si>
    <t>t:u.height*d[w]};""fraction""===e.lenmode?(T.l=0</t>
  </si>
  <si>
    <t>T.xl=e.x-e.len*d[_]</t>
  </si>
  <si>
    <t>T.r=0</t>
  </si>
  <si>
    <t>T.xr=e.x+e.len*m[_]):(T.x=e.x</t>
  </si>
  <si>
    <t>T.l=u.outerLength*d[_]</t>
  </si>
  <si>
    <t>T.r=u.outerLength*m[_])</t>
  </si>
  <si>
    <t>i.autoMargin(t</t>
  </si>
  <si>
    <t>g(e)</t>
  </si>
  <si>
    <t>T)}function x(t</t>
  </si>
  <si>
    <t>r){if(e.currentvalue.visible){var n</t>
  </si>
  <si>
    <t>a=e._dims;switch(e.currentvalue.xanchor){case""right"":n=a.inputAreaLength-h.currentValueInset-a.currentValueMaxWidth</t>
  </si>
  <si>
    <t>i=""left"";break;case""center"":n=.5*a.inputAreaLength</t>
  </si>
  <si>
    <t>i=""middle"";break;default:n=h.currentValueInset</t>
  </si>
  <si>
    <t>i=""left""}var l=s.ensureSingle(t</t>
  </si>
  <si>
    <t>h.labelClass</t>
  </si>
  <si>
    <t>(function(t){t.attr({""text-anchor"":i</t>
  </si>
  <si>
    <t>data-notex"":1})}))</t>
  </si>
  <si>
    <t>u=e.currentvalue.prefix?e.currentvalue.prefix:"""";if(""string""==typeof r)u+=r;else{var f=e.steps[e.active].label</t>
  </si>
  <si>
    <t>d=e._gd._fullLayout._meta;d&amp;&amp;(f=s.templateString(f</t>
  </si>
  <si>
    <t>d))</t>
  </si>
  <si>
    <t>u+=f}e.currentvalue.suffix&amp;&amp;(u+=e.currentvalue.suffix)</t>
  </si>
  <si>
    <t>l.call(o.font</t>
  </si>
  <si>
    <t>e.currentvalue.font).text(u).call(c.convertToTspans</t>
  </si>
  <si>
    <t>e._gd);var m=c.lineCount(l)</t>
  </si>
  <si>
    <t>g=(a.currentValueMaxLines+1-m)*e.currentvalue.font.size*p;return c.positionText(l</t>
  </si>
  <si>
    <t>l}}function _(t</t>
  </si>
  <si>
    <t>r){s.ensureSingle(t</t>
  </si>
  <si>
    <t>h.gripRectClass</t>
  </si>
  <si>
    <t>(function(n){n.call(A</t>
  </si>
  <si>
    <t>r).style(""pointer-events""</t>
  </si>
  <si>
    <t>all"")})).attr({width:h.gripWidth</t>
  </si>
  <si>
    <t>height:h.gripHeight</t>
  </si>
  <si>
    <t>rx:h.gripRadius</t>
  </si>
  <si>
    <t>ry:h.gripRadius}).call(a.stroke</t>
  </si>
  <si>
    <t>r.bordercolor).call(a.fill</t>
  </si>
  <si>
    <t>r.bgcolor).style(""stroke-width""</t>
  </si>
  <si>
    <t>r.borderwidth+""px"")}function b(t</t>
  </si>
  <si>
    <t>r){var n=s.ensureSingle(t</t>
  </si>
  <si>
    <t>(function(t){t.attr({""text-anchor"":""middle""</t>
  </si>
  <si>
    <t>i=e.step.label</t>
  </si>
  <si>
    <t>a=r._gd._fullLayout._meta;return a&amp;&amp;(i=s.templateString(i</t>
  </si>
  <si>
    <t>n.call(o.font</t>
  </si>
  <si>
    <t>r.font).text(i).call(c.convertToTspans</t>
  </si>
  <si>
    <t>r._gd)</t>
  </si>
  <si>
    <t>n}function w(t</t>
  </si>
  <si>
    <t>e){var r=s.ensureSingle(t</t>
  </si>
  <si>
    <t>h.labelsClass)</t>
  </si>
  <si>
    <t>i=e._dims</t>
  </si>
  <si>
    <t>a=r.selectAll(""g.""+h.labelGroupClass).data(i.labelSteps);a.enter().append(""g"").classed(h.labelGroupClass</t>
  </si>
  <si>
    <t>a.exit().remove()</t>
  </si>
  <si>
    <t>a.each((function(t){var r=n.select(this);r.call(b</t>
  </si>
  <si>
    <t>o.setTranslate(r</t>
  </si>
  <si>
    <t>E(e</t>
  </si>
  <si>
    <t>t.fraction)</t>
  </si>
  <si>
    <t>h.tickOffset+e.ticklen+e.font.size*p+h.labelOffset+i.currentValueTotalHeight)}))}function T(t</t>
  </si>
  <si>
    <t>i){var a=Math.round(n*(r._stepCount-1))</t>
  </si>
  <si>
    <t>o=r._visibleSteps[a]._index;o!==r.active&amp;&amp;k(t</t>
  </si>
  <si>
    <t>i)}function k(t</t>
  </si>
  <si>
    <t>o){var s=r.active;r.active=n</t>
  </si>
  <si>
    <t>u(t.layout</t>
  </si>
  <si>
    <t>h.name</t>
  </si>
  <si>
    <t>r).applyUpdate(""active""</t>
  </si>
  <si>
    <t>n);var l=r.steps[r.active];e.call(S</t>
  </si>
  <si>
    <t>e.call(x</t>
  </si>
  <si>
    <t>t.emit(""plotly_sliderchange""</t>
  </si>
  <si>
    <t>{slider:r</t>
  </si>
  <si>
    <t>step:r.steps[r.active]</t>
  </si>
  <si>
    <t>interaction:a</t>
  </si>
  <si>
    <t>previousActive:s})</t>
  </si>
  <si>
    <t>l&amp;&amp;l.method&amp;&amp;a&amp;&amp;(e._nextMethod?(e._nextMethod.step=l</t>
  </si>
  <si>
    <t>e._nextMethod.doCallback=a</t>
  </si>
  <si>
    <t>e._nextMethod.doTransition=o):(e._nextMethod={step:l</t>
  </si>
  <si>
    <t>doCallback:a</t>
  </si>
  <si>
    <t>doTransition:o}</t>
  </si>
  <si>
    <t>e._nextMethodRaf=window.requestAnimationFrame((function(){var r=e._nextMethod.step;r.method&amp;&amp;(r.execute&amp;&amp;i.executeAPICommand(t</t>
  </si>
  <si>
    <t>r.method</t>
  </si>
  <si>
    <t>r.args)</t>
  </si>
  <si>
    <t>e._nextMethod=null</t>
  </si>
  <si>
    <t>e._nextMethodRaf=null)}))))}function A(t</t>
  </si>
  <si>
    <t>r){if(!e._context.staticPlot){var i=r.node()</t>
  </si>
  <si>
    <t>o=n.select(e);t.on(""mousedown""</t>
  </si>
  <si>
    <t>l)}function s(){return r.data()[0]}function l(){var t=s();e.emit(""plotly_sliderstart""</t>
  </si>
  <si>
    <t>{slider:t});var l=r.select("".""+h.gripRectClass);n.event.stopPropagation()</t>
  </si>
  <si>
    <t>n.event.preventDefault()</t>
  </si>
  <si>
    <t>l.call(a.fill</t>
  </si>
  <si>
    <t>t.activebgcolor);var c=C(t</t>
  </si>
  <si>
    <t>n.mouse(i)[0]);function u(){var t=s()</t>
  </si>
  <si>
    <t>a=C(t</t>
  </si>
  <si>
    <t>n.mouse(i)[0]);T(e</t>
  </si>
  <si>
    <t>!1)}function f(){var t=s();t._dragging=!1</t>
  </si>
  <si>
    <t>t.bgcolor)</t>
  </si>
  <si>
    <t>o.on(""mouseup""</t>
  </si>
  <si>
    <t>o.on(""mousemove""</t>
  </si>
  <si>
    <t>o.on(""touchend""</t>
  </si>
  <si>
    <t>o.on(""touchmove""</t>
  </si>
  <si>
    <t>e.emit(""plotly_sliderend""</t>
  </si>
  <si>
    <t>{slider:t</t>
  </si>
  <si>
    <t>step:t.steps[t.active]})}T(e</t>
  </si>
  <si>
    <t>t._dragging=!0</t>
  </si>
  <si>
    <t>f)}}function M(t</t>
  </si>
  <si>
    <t>e){var r=t.selectAll(""rect.""+h.tickRectClass).data(e._visibleSteps)</t>
  </si>
  <si>
    <t>i=e._dims;r.enter().append(""rect"").classed(h.tickRectClass</t>
  </si>
  <si>
    <t>r.attr({width:e.tickwidth+""px""</t>
  </si>
  <si>
    <t>shape-rendering"":""crispEdges""})</t>
  </si>
  <si>
    <t>r){var s=r%i.labelStride==0</t>
  </si>
  <si>
    <t>l=n.select(this);l.attr({height:s?e.ticklen:e.minorticklen}).call(a.fill</t>
  </si>
  <si>
    <t>e.tickcolor)</t>
  </si>
  <si>
    <t>o.setTranslate(l</t>
  </si>
  <si>
    <t>r/(e._stepCount-1))-.5*e.tickwidth</t>
  </si>
  <si>
    <t>(s?h.tickOffset:h.minorTickOffset)+i.currentValueTotalHeight)}))}function S(t</t>
  </si>
  <si>
    <t>r){for(var n=t.select(""rect.""+h.gripRectClass)</t>
  </si>
  <si>
    <t>a=0;a&lt;e._stepCount;a++)if(e._visibleSteps[a]._index===e.active){i=a;break}var o=E(e</t>
  </si>
  <si>
    <t>i/(e._stepCount-1));if(!e._invokingCommand){var s=n;r&amp;&amp;e.transition.duration&gt;0&amp;&amp;(s=s.transition().duration(e.transition.duration).ease(e.transition.easing))</t>
  </si>
  <si>
    <t>s.attr(""transform""</t>
  </si>
  <si>
    <t>l(o-.5*h.gripWidth</t>
  </si>
  <si>
    <t>e._dims.currentValueTotalHeight))}}function E(t</t>
  </si>
  <si>
    <t>e){var r=t._dims;return r.inputAreaStart+h.stepInset+(r.inputAreaLength-2*h.stepInset)*Math.min(1</t>
  </si>
  <si>
    <t>Math.max(0</t>
  </si>
  <si>
    <t>e))}function C(t</t>
  </si>
  <si>
    <t>e){var r=t._dims;return Math.min(1</t>
  </si>
  <si>
    <t>(e-h.stepInset-r.inputAreaStart)/(r.inputAreaLength-2*h.stepInset-2*r.inputAreaStart)))}function L(t</t>
  </si>
  <si>
    <t>r){var n=r._dims</t>
  </si>
  <si>
    <t>i=s.ensureSingle(t</t>
  </si>
  <si>
    <t>h.railTouchRectClass</t>
  </si>
  <si>
    <t>all"")}));i.attr({width:n.inputAreaLength</t>
  </si>
  <si>
    <t>height:Math.max(n.inputAreaWidth</t>
  </si>
  <si>
    <t>h.tickOffset+r.ticklen+n.labelHeight)}).call(a.fill</t>
  </si>
  <si>
    <t>r.bgcolor).attr(""opacity""</t>
  </si>
  <si>
    <t>o.setTranslate(i</t>
  </si>
  <si>
    <t>n.currentValueTotalHeight)}function I(t</t>
  </si>
  <si>
    <t>e){var r=e._dims</t>
  </si>
  <si>
    <t>n=r.inputAreaLength-2*h.railInset</t>
  </si>
  <si>
    <t>h.railRectClass);i.attr({width:n</t>
  </si>
  <si>
    <t>height:h.railWidth</t>
  </si>
  <si>
    <t>rx:h.railRadius</t>
  </si>
  <si>
    <t>ry:h.railRadius</t>
  </si>
  <si>
    <t>shape-rendering"":""crispEdges""}).call(a.stroke</t>
  </si>
  <si>
    <t>e.bordercolor).call(a.fill</t>
  </si>
  <si>
    <t>e.bgcolor).style(""stroke-width""</t>
  </si>
  <si>
    <t>e.borderwidth+""px"")</t>
  </si>
  <si>
    <t>h.railInset</t>
  </si>
  <si>
    <t>.5*(r.inputAreaWidth-h.railWidth)+r.currentValueTotalHeight)}t.exports=function(t){var e=t._context.staticPlot</t>
  </si>
  <si>
    <t>r=t._fullLayout</t>
  </si>
  <si>
    <t>a=function(t</t>
  </si>
  <si>
    <t>e){for(var r=t[h.name]</t>
  </si>
  <si>
    <t>i=0;i&lt;r.length;i++){var a=r[i];a.visible&amp;&amp;(a._gd=e</t>
  </si>
  <si>
    <t>n.push(a))}return n}(r</t>
  </si>
  <si>
    <t>s=r._infolayer.selectAll(""g.""+h.containerClassName).data(a.length&gt;0?[0]:[]);function l(e){e._commandObserver&amp;&amp;(e._commandObserver.remove()</t>
  </si>
  <si>
    <t>delete e._commandObserver)</t>
  </si>
  <si>
    <t>g(e))}if(s.enter().append(""g"").classed(h.containerClassName</t>
  </si>
  <si>
    <t>!0).style(""cursor""</t>
  </si>
  <si>
    <t>e?null:""ew-resize"")</t>
  </si>
  <si>
    <t>s.exit().each((function(){n.select(this).selectAll(""g.""+h.groupClassName).each(l)})).remove()</t>
  </si>
  <si>
    <t>0!==a.length){var c=s.selectAll(""g.""+h.groupClassName).data(a</t>
  </si>
  <si>
    <t>y);c.enter().append(""g"").classed(h.groupClassName</t>
  </si>
  <si>
    <t>c.exit().each(l).remove();for(var u=0;u&lt;a.length;u++){var f=a[u];v(t</t>
  </si>
  <si>
    <t>f)}c.each((function(e){var r=n.select(this);!function(t){var e=t._dims;e.labelSteps=[];for(var r=t._stepCount</t>
  </si>
  <si>
    <t>n=0;n&lt;r;n+=e.labelStride)e.labelSteps.push({fraction:n/(r-1)</t>
  </si>
  <si>
    <t>step:t._visibleSteps[n]})}(e)</t>
  </si>
  <si>
    <t>i.manageCommandObserver(t</t>
  </si>
  <si>
    <t>e._visibleSteps</t>
  </si>
  <si>
    <t>(function(e){var n=r.data()[0];n.active!==e.index&amp;&amp;(n._dragging||k(t</t>
  </si>
  <si>
    <t>e.index</t>
  </si>
  <si>
    <t>!0))}))</t>
  </si>
  <si>
    <t>r){(r.steps[r.active]||{}).visible||(r.active=r._visibleSteps[0]._index)</t>
  </si>
  <si>
    <t>r).call(I</t>
  </si>
  <si>
    <t>r).call(w</t>
  </si>
  <si>
    <t>r).call(M</t>
  </si>
  <si>
    <t>r).call(L</t>
  </si>
  <si>
    <t>r).call(_</t>
  </si>
  <si>
    <t>r);var n=r._dims;o.setTranslate(e</t>
  </si>
  <si>
    <t>n.lx+r.pad.l</t>
  </si>
  <si>
    <t>n.ly+r.pad.t)</t>
  </si>
  <si>
    <t>e.call(S</t>
  </si>
  <si>
    <t>r)}(t</t>
  </si>
  <si>
    <t>e)}))}}}</t>
  </si>
  <si>
    <t>15359:function(t</t>
  </si>
  <si>
    <t>r){""use strict"";var n=r(64194);t.exports={moduleType:""component""</t>
  </si>
  <si>
    <t>name:n.name</t>
  </si>
  <si>
    <t>layoutAttributes:r(8606)</t>
  </si>
  <si>
    <t>supplyLayoutDefaults:r(74537)</t>
  </si>
  <si>
    <t>draw:r(44097)}}</t>
  </si>
  <si>
    <t>17240:function(t</t>
  </si>
  <si>
    <t>f=r(20438)</t>
  </si>
  <si>
    <t>p=r(4530).OPPOSITE_SIDE</t>
  </si>
  <si>
    <t>d=/ [XY][0-9]* /;t.exports={draw:function(t</t>
  </si>
  <si>
    <t>r){var m</t>
  </si>
  <si>
    <t>g=t._fullLayout</t>
  </si>
  <si>
    <t>y=r.propContainer</t>
  </si>
  <si>
    <t>v=r.propName</t>
  </si>
  <si>
    <t>x=r.placeholder</t>
  </si>
  <si>
    <t>_=r.traceIndex</t>
  </si>
  <si>
    <t>b=r.avoid||{}</t>
  </si>
  <si>
    <t>w=r.attributes</t>
  </si>
  <si>
    <t>T=r.transform</t>
  </si>
  <si>
    <t>k=r.containerGroup</t>
  </si>
  <si>
    <t>A=1</t>
  </si>
  <si>
    <t>M=y.title</t>
  </si>
  <si>
    <t>S=(M&amp;&amp;M.text?M.text:"""").trim()</t>
  </si>
  <si>
    <t>E=!1</t>
  </si>
  <si>
    <t>C=M&amp;&amp;M.font?M.font:{}</t>
  </si>
  <si>
    <t>L=C.family</t>
  </si>
  <si>
    <t>I=C.size</t>
  </si>
  <si>
    <t>P=C.color</t>
  </si>
  <si>
    <t>z=C.weight</t>
  </si>
  <si>
    <t>O=C.style</t>
  </si>
  <si>
    <t>D=C.variant</t>
  </si>
  <si>
    <t>R=C.textcase</t>
  </si>
  <si>
    <t>F=C.lineposition</t>
  </si>
  <si>
    <t>B=C.shadow</t>
  </si>
  <si>
    <t>N=!!r.subtitlePropName</t>
  </si>
  <si>
    <t>j=r.subtitlePlaceholder</t>
  </si>
  <si>
    <t>U=(y.title||{}).subtitle||{text:""""</t>
  </si>
  <si>
    <t>font:{}}</t>
  </si>
  <si>
    <t>V=U.text.trim()</t>
  </si>
  <si>
    <t>q=!1</t>
  </si>
  <si>
    <t>H=1</t>
  </si>
  <si>
    <t>G=U.font</t>
  </si>
  <si>
    <t>Z=G.family</t>
  </si>
  <si>
    <t>W=G.size</t>
  </si>
  <si>
    <t>Y=G.color</t>
  </si>
  <si>
    <t>X=G.weight</t>
  </si>
  <si>
    <t>$=G.style</t>
  </si>
  <si>
    <t>J=G.variant</t>
  </si>
  <si>
    <t>K=G.textcase</t>
  </si>
  <si>
    <t>Q=G.lineposition</t>
  </si>
  <si>
    <t>tt=G.shadow;""title.text""===v?m=""titleText"":-1!==v.indexOf(""axis"")?m=""axisTitleText"":v.indexOf(!0)&amp;&amp;(m=""colorbarTitleText"");var et=t._context.edits[m];function rt(t</t>
  </si>
  <si>
    <t>e){return void 0!==t&amp;&amp;void 0!==e&amp;&amp;t.replace(d</t>
  </si>
  <si>
    <t xml:space="preserve"> % "")===e.replace(d</t>
  </si>
  <si>
    <t xml:space="preserve"> % "")}""""===S?A=0:rt(S</t>
  </si>
  <si>
    <t>x)&amp;&amp;(et||(S="""")</t>
  </si>
  <si>
    <t>A=.2</t>
  </si>
  <si>
    <t>E=!0)</t>
  </si>
  <si>
    <t>N&amp;&amp;(""""===V?H=0:rt(V</t>
  </si>
  <si>
    <t>j)&amp;&amp;(et||(V="""")</t>
  </si>
  <si>
    <t>H=.2</t>
  </si>
  <si>
    <t>q=!0))</t>
  </si>
  <si>
    <t>r._meta?S=s.templateString(S</t>
  </si>
  <si>
    <t>r._meta):g._meta&amp;&amp;(S=s.templateString(S</t>
  </si>
  <si>
    <t>g._meta));var nt</t>
  </si>
  <si>
    <t>it=S||V||et;k||(k=s.ensureSingle(g._infolayer</t>
  </si>
  <si>
    <t>g-""+e)</t>
  </si>
  <si>
    <t>nt=g._hColorbarMoveTitle);var at=k.selectAll(""text.""+e).data(it?[0]:[]);at.enter().append(""text"")</t>
  </si>
  <si>
    <t>at.text(S).attr(""class""</t>
  </si>
  <si>
    <t>at.exit().remove();var ot=null</t>
  </si>
  <si>
    <t>st=e+""-subtitle""</t>
  </si>
  <si>
    <t>lt=V||et;if(N&amp;&amp;lt&amp;&amp;((ot=k.selectAll(""text.""+st).data(lt?[0]:[])).enter().append(""text"")</t>
  </si>
  <si>
    <t>ot.text(V).attr(""class""</t>
  </si>
  <si>
    <t>st)</t>
  </si>
  <si>
    <t>ot.exit().remove())</t>
  </si>
  <si>
    <t>!it)return k;function ct(t</t>
  </si>
  <si>
    <t>e){s.syncOrAsync([ut</t>
  </si>
  <si>
    <t>ht]</t>
  </si>
  <si>
    <t>{title:t</t>
  </si>
  <si>
    <t>subtitle:e})}function ut(r){var i</t>
  </si>
  <si>
    <t>o=r.title</t>
  </si>
  <si>
    <t>f=r.subtitle;if(!T&amp;&amp;nt&amp;&amp;(T={})</t>
  </si>
  <si>
    <t>T?(i=""""</t>
  </si>
  <si>
    <t>T.rotate&amp;&amp;(i+=""rotate(""+[T.rotate</t>
  </si>
  <si>
    <t>w.x</t>
  </si>
  <si>
    <t>w.y]+"")"")</t>
  </si>
  <si>
    <t>(T.offset||nt)&amp;&amp;(i+=l(0</t>
  </si>
  <si>
    <t>(T.offset||0)-(nt||0)))):i=null</t>
  </si>
  <si>
    <t>o.style(""opacity""</t>
  </si>
  <si>
    <t>A*u.opacity(P)).call(c.font</t>
  </si>
  <si>
    <t>{color:u.rgb(P)</t>
  </si>
  <si>
    <t>size:n.round(I</t>
  </si>
  <si>
    <t>family:L</t>
  </si>
  <si>
    <t>weight:z</t>
  </si>
  <si>
    <t>style:O</t>
  </si>
  <si>
    <t>variant:D</t>
  </si>
  <si>
    <t>textcase:R</t>
  </si>
  <si>
    <t>shadow:B</t>
  </si>
  <si>
    <t>lineposition:F}).attr(w).call(h.convertToTspans</t>
  </si>
  <si>
    <t>(function(t){if(t){var e=n.select(t.node().parentNode).select("".""+st);if(!e.empty()){var r=t.node().getBBox();if(r.height){var i=r.y+r.height+1.6*W;e.attr(""y""</t>
  </si>
  <si>
    <t>i)}}}}))</t>
  </si>
  <si>
    <t>f){var p=k.select("".""+e+""-math-group"")</t>
  </si>
  <si>
    <t>d=o.node().getBBox()</t>
  </si>
  <si>
    <t>m=p.node()?p.node().getBBox():void 0</t>
  </si>
  <si>
    <t>g=m?m.y+m.height+1.6*W:d.y+d.height+1.6*W</t>
  </si>
  <si>
    <t>y=s.extendFlat({}</t>
  </si>
  <si>
    <t>{y:g});f.attr(""transform""</t>
  </si>
  <si>
    <t>f.style(""opacity""</t>
  </si>
  <si>
    <t>H*u.opacity(Y)).call(c.font</t>
  </si>
  <si>
    <t>{color:u.rgb(Y)</t>
  </si>
  <si>
    <t>size:n.round(W</t>
  </si>
  <si>
    <t>family:Z</t>
  </si>
  <si>
    <t>weight:X</t>
  </si>
  <si>
    <t>style:$</t>
  </si>
  <si>
    <t>variant:J</t>
  </si>
  <si>
    <t>textcase:K</t>
  </si>
  <si>
    <t>shadow:tt</t>
  </si>
  <si>
    <t>lineposition:Q}).attr(y).call(h.convertToTspans</t>
  </si>
  <si>
    <t>t)}return a.previousPromises(t)}function ht(e){var r=e.title</t>
  </si>
  <si>
    <t>a=n.select(r.node().parentNode);if(b&amp;&amp;b.selection&amp;&amp;b.side&amp;&amp;S){a.attr(""transform""</t>
  </si>
  <si>
    <t>null);var o=p[b.side]</t>
  </si>
  <si>
    <t>u=""left""===b.side||""top""===b.side?-1:1</t>
  </si>
  <si>
    <t>h=i(b.pad)?b.pad:2</t>
  </si>
  <si>
    <t>f=c.bBox(a.node())</t>
  </si>
  <si>
    <t>d={t:0</t>
  </si>
  <si>
    <t>m=t._fullLayout._reservedMargin;for(var v in m)for(var x in m[v]){var _=m[v][x];d[x]=Math.max(d[x]</t>
  </si>
  <si>
    <t>_)}var w={left:d.l</t>
  </si>
  <si>
    <t>top:d.t</t>
  </si>
  <si>
    <t>right:g.width-d.r</t>
  </si>
  <si>
    <t>bottom:g.height-d.b}</t>
  </si>
  <si>
    <t>T=b.maxShift||u*(w[b.side]-f[b.side])</t>
  </si>
  <si>
    <t>k=0;if(T&lt;0)k=T;else{var A=b.offsetLeft||0</t>
  </si>
  <si>
    <t>M=b.offsetTop||0;f.left-=A</t>
  </si>
  <si>
    <t>f.right-=A</t>
  </si>
  <si>
    <t>f.top-=M</t>
  </si>
  <si>
    <t>f.bottom-=M</t>
  </si>
  <si>
    <t>b.selection.each((function(){var t=c.bBox(this);s.bBoxIntersect(f</t>
  </si>
  <si>
    <t>h)&amp;&amp;(k=Math.max(k</t>
  </si>
  <si>
    <t>u*(t[b.side]-f[o])+h))}))</t>
  </si>
  <si>
    <t>k=Math.min(T</t>
  </si>
  <si>
    <t>y._titleScoot=Math.abs(k)}if(k&gt;0||T&lt;0){var E={left:[-k</t>
  </si>
  <si>
    <t>0]</t>
  </si>
  <si>
    <t>right:[k</t>
  </si>
  <si>
    <t>top:[0</t>
  </si>
  <si>
    <t>-k]</t>
  </si>
  <si>
    <t>bottom:[0</t>
  </si>
  <si>
    <t>k]}[b.side];a.attr(""transform""</t>
  </si>
  <si>
    <t>l(E[0]</t>
  </si>
  <si>
    <t>E[1]))}}}function ft(t</t>
  </si>
  <si>
    <t>e){t.text(e).on(""mouseover.opacity""</t>
  </si>
  <si>
    <t>(function(){n.select(this).transition().duration(f.SHOW_PLACEHOLDER).style(""opacity""</t>
  </si>
  <si>
    <t>1)})).on(""mouseout.opacity""</t>
  </si>
  <si>
    <t>(function(){n.select(this).transition().duration(f.HIDE_PLACEHOLDER).style(""opacity""</t>
  </si>
  <si>
    <t>0)}))}if(at.call(ct</t>
  </si>
  <si>
    <t>ot)</t>
  </si>
  <si>
    <t>et&amp;&amp;(S?at.on("".opacity""</t>
  </si>
  <si>
    <t>null):(ft(at</t>
  </si>
  <si>
    <t>at.call(h.makeEditable</t>
  </si>
  <si>
    <t>{gd:t}).on(""edit""</t>
  </si>
  <si>
    <t>(function(e){void 0!==_?o.call(""_guiRestyle""</t>
  </si>
  <si>
    <t>_):o.call(""_guiRelayout""</t>
  </si>
  <si>
    <t>e)})).on(""cancel""</t>
  </si>
  <si>
    <t>(function(){this.text(this.attr(""data-unformatted"")).call(ct)})).on(""input""</t>
  </si>
  <si>
    <t>(function(t){this.text(t||"" "").call(h.positionText</t>
  </si>
  <si>
    <t>w.y)}))</t>
  </si>
  <si>
    <t>N)){if(N&amp;&amp;!S){var pt=at.node().getBBox()</t>
  </si>
  <si>
    <t>dt=pt.y+pt.height+1.6*W;ot.attr(""y""</t>
  </si>
  <si>
    <t>dt)}V?ot.on("".opacity""</t>
  </si>
  <si>
    <t>null):(ft(ot</t>
  </si>
  <si>
    <t>q=!0)</t>
  </si>
  <si>
    <t>ot.call(h.makeEditable</t>
  </si>
  <si>
    <t>(function(e){o.call(""_guiRelayout""</t>
  </si>
  <si>
    <t>title.subtitle.text""</t>
  </si>
  <si>
    <t>ot.attr(""x"")</t>
  </si>
  <si>
    <t>ot.attr(""y""))}))}return at.classed(""js-placeholder""</t>
  </si>
  <si>
    <t>E)</t>
  </si>
  <si>
    <t>ot&amp;&amp;ot.classed(""js-placeholder""</t>
  </si>
  <si>
    <t>k}</t>
  </si>
  <si>
    <t>SUBTITLE_PADDING_EM:1.6</t>
  </si>
  <si>
    <t>SUBTITLE_PADDING_MATHJAX_EM:1.6}}</t>
  </si>
  <si>
    <t>85389:function(t</t>
  </si>
  <si>
    <t>s=r(57891)</t>
  </si>
  <si>
    <t>c=l(""button""</t>
  </si>
  <si>
    <t>{visible:{valType:""boolean""}</t>
  </si>
  <si>
    <t>args2:{valType:""info_array""</t>
  </si>
  <si>
    <t>dflt:!0}});t.exports=o(l(""updatemenu""</t>
  </si>
  <si>
    <t>{_arrayAttrRegexps:[/^updatemenus\[(0|[1-9][0-9]+)\]\.buttons/]</t>
  </si>
  <si>
    <t>visible:{valType:""boolean""}</t>
  </si>
  <si>
    <t>values:[""dropdown""</t>
  </si>
  <si>
    <t>buttons""]</t>
  </si>
  <si>
    <t>dflt:""dropdown""}</t>
  </si>
  <si>
    <t>direction:{valType:""enumerated""</t>
  </si>
  <si>
    <t>up""</t>
  </si>
  <si>
    <t>down""]</t>
  </si>
  <si>
    <t>dflt:""down""}</t>
  </si>
  <si>
    <t>active:{valType:""integer""</t>
  </si>
  <si>
    <t>showactive:{valType:""boolean""</t>
  </si>
  <si>
    <t>buttons:c</t>
  </si>
  <si>
    <t>dflt:-.05}</t>
  </si>
  <si>
    <t>dflt:""right""}</t>
  </si>
  <si>
    <t>pad:a(s({editType:""arraydraw""})</t>
  </si>
  <si>
    <t>bgcolor:{valType:""color""}</t>
  </si>
  <si>
    <t>dflt:i.borderLine}</t>
  </si>
  <si>
    <t>editType:""arraydraw""}})</t>
  </si>
  <si>
    <t>71559:function(t){""use strict"";t.exports={name:""updatemenus""</t>
  </si>
  <si>
    <t>containerClassName:""updatemenu-container""</t>
  </si>
  <si>
    <t>headerGroupClassName:""updatemenu-header-group""</t>
  </si>
  <si>
    <t>headerClassName:""updatemenu-header""</t>
  </si>
  <si>
    <t>headerArrowClassName:""updatemenu-header-arrow""</t>
  </si>
  <si>
    <t>dropdownButtonGroupClassName:""updatemenu-dropdown-button-group""</t>
  </si>
  <si>
    <t>dropdownButtonClassName:""updatemenu-dropdown-button""</t>
  </si>
  <si>
    <t>buttonClassName:""updatemenu-button""</t>
  </si>
  <si>
    <t>itemRectClassName:""updatemenu-item-rect""</t>
  </si>
  <si>
    <t>itemTextClassName:""updatemenu-item-text""</t>
  </si>
  <si>
    <t>menuIndexAttrName:""updatemenu-active-index""</t>
  </si>
  <si>
    <t>autoMarginIdRoot:""updatemenu-""</t>
  </si>
  <si>
    <t>blankHeaderOpts:{label:""  ""}</t>
  </si>
  <si>
    <t>textPadX:24</t>
  </si>
  <si>
    <t>arrowPadX:16</t>
  </si>
  <si>
    <t>rx:2</t>
  </si>
  <si>
    <t>ry:2</t>
  </si>
  <si>
    <t>textOffsetX:12</t>
  </si>
  <si>
    <t>textOffsetY:3</t>
  </si>
  <si>
    <t>gapButtonHeader:5</t>
  </si>
  <si>
    <t>gapButton:2</t>
  </si>
  <si>
    <t>activeColor:""#F4FAFF""</t>
  </si>
  <si>
    <t>hoverColor:""#F4FAFF""</t>
  </si>
  <si>
    <t>arrowSymbol:{left:""â—„""</t>
  </si>
  <si>
    <t>right:""â–º""</t>
  </si>
  <si>
    <t>up:""â–²""</t>
  </si>
  <si>
    <t>down:""â–¼""}}}</t>
  </si>
  <si>
    <t>42746:function(t</t>
  </si>
  <si>
    <t>a=r(85389)</t>
  </si>
  <si>
    <t>o=r(71559).name</t>
  </si>
  <si>
    <t>s=a.buttons;function l(t</t>
  </si>
  <si>
    <t>i)}o(""visible""</t>
  </si>
  <si>
    <t>i(t</t>
  </si>
  <si>
    <t>handleItemDefaults:c}).length&gt;0)&amp;&amp;(o(""active"")</t>
  </si>
  <si>
    <t>o(""direction"")</t>
  </si>
  <si>
    <t>o(""type"")</t>
  </si>
  <si>
    <t>o(""showactive"")</t>
  </si>
  <si>
    <t>o(""bgcolor""</t>
  </si>
  <si>
    <t>o(""borderwidth""))}function c(t</t>
  </si>
  <si>
    <t>i)}r(""visible""</t>
  </si>
  <si>
    <t>skip""===t.method||Array.isArray(t.args))&amp;&amp;(r(""method"")</t>
  </si>
  <si>
    <t>r(""args"")</t>
  </si>
  <si>
    <t>r(""args2"")</t>
  </si>
  <si>
    <t>r(""label"")</t>
  </si>
  <si>
    <t>r(""execute""))}t.exports=function(t</t>
  </si>
  <si>
    <t>40974:function(t</t>
  </si>
  <si>
    <t>l=r(30635)</t>
  </si>
  <si>
    <t>c=r(78032).arrayEditor</t>
  </si>
  <si>
    <t>u=r(4530).LINE_SPACING</t>
  </si>
  <si>
    <t>h=r(71559)</t>
  </si>
  <si>
    <t>f=r(21736);function p(t){return t._index}function d(t</t>
  </si>
  <si>
    <t>e){return+t.attr(h.menuIndexAttrName)===e._index}function m(t</t>
  </si>
  <si>
    <t>s){e.active=o</t>
  </si>
  <si>
    <t>c(t.layout</t>
  </si>
  <si>
    <t>e).applyUpdate(""active""</t>
  </si>
  <si>
    <t>buttons""===e.type?y(t</t>
  </si>
  <si>
    <t>e):""dropdown""===e.type&amp;&amp;(i.attr(h.menuIndexAttrName</t>
  </si>
  <si>
    <t>-1"")</t>
  </si>
  <si>
    <t>g(t</t>
  </si>
  <si>
    <t>s||y(t</t>
  </si>
  <si>
    <t>e))}function g(t</t>
  </si>
  <si>
    <t>i){var a=s.ensureSingle(e</t>
  </si>
  <si>
    <t>h.headerClassName</t>
  </si>
  <si>
    <t>(function(t){t.style(""pointer-events""</t>
  </si>
  <si>
    <t>l=i._dims</t>
  </si>
  <si>
    <t>c=i.active</t>
  </si>
  <si>
    <t>u=i.buttons[c]||h.blankHeaderOpts</t>
  </si>
  <si>
    <t>f={y:i.pad.t</t>
  </si>
  <si>
    <t>yPad:0</t>
  </si>
  <si>
    <t>x:i.pad.l</t>
  </si>
  <si>
    <t>xPad:0</t>
  </si>
  <si>
    <t>index:0}</t>
  </si>
  <si>
    <t>p={width:l.headerWidth</t>
  </si>
  <si>
    <t>height:l.headerHeight};a.call(v</t>
  </si>
  <si>
    <t>t).call(M</t>
  </si>
  <si>
    <t>s.ensureSingle(e</t>
  </si>
  <si>
    <t>h.headerArrowClassName</t>
  </si>
  <si>
    <t>end"").call(o.font</t>
  </si>
  <si>
    <t>i.font).text(h.arrowSymbol[i.direction])})).attr({x:l.headerWidth-h.arrowOffsetX+i.pad.l</t>
  </si>
  <si>
    <t>y:l.headerHeight/2+h.textOffsetY+i.pad.t})</t>
  </si>
  <si>
    <t>a.on(""click""</t>
  </si>
  <si>
    <t>(function(){r.call(S</t>
  </si>
  <si>
    <t>String(d(r</t>
  </si>
  <si>
    <t>i)?-1:i._index))</t>
  </si>
  <si>
    <t>y(t</t>
  </si>
  <si>
    <t>a.on(""mouseover""</t>
  </si>
  <si>
    <t>(function(){a.call(w)}))</t>
  </si>
  <si>
    <t>a.on(""mouseout""</t>
  </si>
  <si>
    <t>(function(){a.call(T</t>
  </si>
  <si>
    <t>o.setTranslate(e</t>
  </si>
  <si>
    <t>l.lx</t>
  </si>
  <si>
    <t>l.ly)}function y(t</t>
  </si>
  <si>
    <t>o){r||(r=e).attr(""pointer-events""</t>
  </si>
  <si>
    <t>all"");var l=function(t){return-1==+t.attr(h.menuIndexAttrName)}(r)&amp;&amp;""buttons""!==o.type?[]:o.buttons</t>
  </si>
  <si>
    <t>c=""dropdown""===o.type?h.dropdownButtonClassName:h.buttonClassName</t>
  </si>
  <si>
    <t>u=r.selectAll(""g.""+c).data(s.filterVisible(l))</t>
  </si>
  <si>
    <t>f=u.enter().append(""g"").classed(c</t>
  </si>
  <si>
    <t>p=u.exit();""dropdown""===o.type?(f.attr(""opacity""</t>
  </si>
  <si>
    <t>0"").transition().attr(""opacity""</t>
  </si>
  <si>
    <t>1"")</t>
  </si>
  <si>
    <t>p.transition().attr(""opacity""</t>
  </si>
  <si>
    <t>0"").remove()):p.remove();var d=0</t>
  </si>
  <si>
    <t>g=0</t>
  </si>
  <si>
    <t>y=o._dims</t>
  </si>
  <si>
    <t>x=-1!==[""up""</t>
  </si>
  <si>
    <t>down""].indexOf(o.direction);""dropdown""===o.type&amp;&amp;(x?g=y.headerHeight+h.gapButtonHeader:d=y.headerWidth+h.gapButtonHeader)</t>
  </si>
  <si>
    <t>dropdown""===o.type&amp;&amp;""up""===o.direction&amp;&amp;(g=-h.gapButtonHeader+h.gapButton-y.openHeight)</t>
  </si>
  <si>
    <t>dropdown""===o.type&amp;&amp;""left""===o.direction&amp;&amp;(d=-h.gapButtonHeader+h.gapButton-y.openWidth);var _={x:y.lx+d+o.pad.l</t>
  </si>
  <si>
    <t>y:y.ly+g+o.pad.t</t>
  </si>
  <si>
    <t>yPad:h.gapButton</t>
  </si>
  <si>
    <t>xPad:h.gapButton</t>
  </si>
  <si>
    <t>k={l:_.x+o.borderwidth</t>
  </si>
  <si>
    <t>t:_.y+o.borderwidth};u.each((function(s</t>
  </si>
  <si>
    <t>l){var c=n.select(this);c.call(v</t>
  </si>
  <si>
    <t>c.on(""click""</t>
  </si>
  <si>
    <t>(function(){n.event.defaultPrevented||(s.execute&amp;&amp;(s.args2&amp;&amp;o.active===l?(m(t</t>
  </si>
  <si>
    <t>-1)</t>
  </si>
  <si>
    <t>i.executeAPICommand(t</t>
  </si>
  <si>
    <t>s.method</t>
  </si>
  <si>
    <t>s.args2)):(m(t</t>
  </si>
  <si>
    <t>s.args)))</t>
  </si>
  <si>
    <t>t.emit(""plotly_buttonclicked""</t>
  </si>
  <si>
    <t>{menu:o</t>
  </si>
  <si>
    <t>button:s</t>
  </si>
  <si>
    <t>active:o.active}))}))</t>
  </si>
  <si>
    <t>c.on(""mouseover""</t>
  </si>
  <si>
    <t>(function(){c.call(w)}))</t>
  </si>
  <si>
    <t>c.on(""mouseout""</t>
  </si>
  <si>
    <t>(function(){c.call(T</t>
  </si>
  <si>
    <t>u.call(b</t>
  </si>
  <si>
    <t>o)}))}))</t>
  </si>
  <si>
    <t>x?(k.w=Math.max(y.openWidth</t>
  </si>
  <si>
    <t>y.headerWidth)</t>
  </si>
  <si>
    <t>k.h=_.y-k.t):(k.w=_.x-k.l</t>
  </si>
  <si>
    <t>k.h=Math.max(y.openHeight</t>
  </si>
  <si>
    <t>y.headerHeight))</t>
  </si>
  <si>
    <t>k.direction=o.direction</t>
  </si>
  <si>
    <t>a&amp;&amp;(u.size()?function(t</t>
  </si>
  <si>
    <t>a){var o</t>
  </si>
  <si>
    <t>c=i.direction</t>
  </si>
  <si>
    <t>u=""up""===c||""down""===c</t>
  </si>
  <si>
    <t>f=i._dims</t>
  </si>
  <si>
    <t>p=i.active;if(u)for(s=0</t>
  </si>
  <si>
    <t>l=0;l&lt;p;l++)s+=f.heights[l]+h.gapButton;else for(o=0</t>
  </si>
  <si>
    <t>l=0;l&lt;p;l++)o+=f.widths[l]+h.gapButton;n.enable(a</t>
  </si>
  <si>
    <t>n.hbar&amp;&amp;n.hbar.attr(""opacity""</t>
  </si>
  <si>
    <t>n.vbar&amp;&amp;n.vbar.attr(""opacity""</t>
  </si>
  <si>
    <t>1"")}(0</t>
  </si>
  <si>
    <t>k):function(t){var e=!!t.hbar</t>
  </si>
  <si>
    <t>r=!!t.vbar;e&amp;&amp;t.hbar.transition().attr(""opacity""</t>
  </si>
  <si>
    <t>0"").each(""end""</t>
  </si>
  <si>
    <t>(function(){e=!1</t>
  </si>
  <si>
    <t>r||t.disable()}))</t>
  </si>
  <si>
    <t>r&amp;&amp;t.vbar.transition().attr(""opacity""</t>
  </si>
  <si>
    <t>(function(){r=!1</t>
  </si>
  <si>
    <t>e||t.disable()}))}(a))}function v(t</t>
  </si>
  <si>
    <t>n){t.call(x</t>
  </si>
  <si>
    <t>e).call(_</t>
  </si>
  <si>
    <t>n)}function x(t</t>
  </si>
  <si>
    <t>e){s.ensureSingle(t</t>
  </si>
  <si>
    <t>h.itemRectClassName</t>
  </si>
  <si>
    <t>(function(t){t.attr({rx:h.rx</t>
  </si>
  <si>
    <t>ry:h.ry</t>
  </si>
  <si>
    <t>shape-rendering"":""crispEdges""})})).call(a.stroke</t>
  </si>
  <si>
    <t>n){var i=s.ensureSingle(t</t>
  </si>
  <si>
    <t>h.itemTextClassName</t>
  </si>
  <si>
    <t>(function(t){t.attr({""text-anchor"":""start""</t>
  </si>
  <si>
    <t>a=r.label</t>
  </si>
  <si>
    <t>c=n._fullLayout._meta;c&amp;&amp;(a=s.templateString(a</t>
  </si>
  <si>
    <t>i.call(o.font</t>
  </si>
  <si>
    <t>e.font).text(a).call(l.convertToTspans</t>
  </si>
  <si>
    <t>n)}function b(t</t>
  </si>
  <si>
    <t>e){var r=e.active;t.each((function(t</t>
  </si>
  <si>
    <t>i){var o=n.select(this);i===r&amp;&amp;e.showactive&amp;&amp;o.select(""rect.""+h.itemRectClassName).call(a.fill</t>
  </si>
  <si>
    <t>h.activeColor)}))}function w(t){t.select(""rect.""+h.itemRectClassName).call(a.fill</t>
  </si>
  <si>
    <t>h.hoverColor)}function T(t</t>
  </si>
  <si>
    <t>e){t.select(""rect.""+h.itemRectClassName).call(a.fill</t>
  </si>
  <si>
    <t>e.bgcolor)}function k(t</t>
  </si>
  <si>
    <t>e){var r=e._dims={width1:0</t>
  </si>
  <si>
    <t>height1:0</t>
  </si>
  <si>
    <t>heights:[]</t>
  </si>
  <si>
    <t>widths:[]</t>
  </si>
  <si>
    <t>totalWidth:0</t>
  </si>
  <si>
    <t>totalHeight:0</t>
  </si>
  <si>
    <t>openWidth:0</t>
  </si>
  <si>
    <t>openHeight:0</t>
  </si>
  <si>
    <t>lx:0</t>
  </si>
  <si>
    <t>ly:0}</t>
  </si>
  <si>
    <t>a=o.tester.selectAll(""g.""+h.dropdownButtonClassName).data(s.filterVisible(e.buttons));a.enter().append(""g"").classed(h.dropdownButtonClassName</t>
  </si>
  <si>
    <t>!0);var c=-1!==[""up""</t>
  </si>
  <si>
    <t>down""].indexOf(e.direction);a.each((function(i</t>
  </si>
  <si>
    <t>a){var s=n.select(this);s.call(v</t>
  </si>
  <si>
    <t>t);var f=s.select("".""+h.itemTextClassName)</t>
  </si>
  <si>
    <t>p=f.node()&amp;&amp;o.bBox(f.node()).width</t>
  </si>
  <si>
    <t>d=Math.max(p+h.textPadX</t>
  </si>
  <si>
    <t>h.minWidth)</t>
  </si>
  <si>
    <t>m=e.font.size*u</t>
  </si>
  <si>
    <t>g=l.lineCount(f)</t>
  </si>
  <si>
    <t>y=Math.max(m*g</t>
  </si>
  <si>
    <t>h.minHeight)+h.textOffsetY;y=Math.ceil(y)</t>
  </si>
  <si>
    <t>d=Math.ceil(d)</t>
  </si>
  <si>
    <t>r.widths[a]=d</t>
  </si>
  <si>
    <t>r.heights[a]=y</t>
  </si>
  <si>
    <t>r.height1=Math.max(r.height1</t>
  </si>
  <si>
    <t>r.width1=Math.max(r.width1</t>
  </si>
  <si>
    <t>c?(r.totalWidth=Math.max(r.totalWidth</t>
  </si>
  <si>
    <t>r.openWidth=r.totalWidth</t>
  </si>
  <si>
    <t>r.totalHeight+=y+h.gapButton</t>
  </si>
  <si>
    <t>r.openHeight+=y+h.gapButton):(r.totalWidth+=d+h.gapButton</t>
  </si>
  <si>
    <t>r.openWidth+=d+h.gapButton</t>
  </si>
  <si>
    <t>r.totalHeight=Math.max(r.totalHeight</t>
  </si>
  <si>
    <t>r.openHeight=r.totalHeight)}))</t>
  </si>
  <si>
    <t>c?r.totalHeight-=h.gapButton:r.totalWidth-=h.gapButton</t>
  </si>
  <si>
    <t>r.headerWidth=r.width1+h.arrowPadX</t>
  </si>
  <si>
    <t>r.headerHeight=r.height1</t>
  </si>
  <si>
    <t>dropdown""===e.type&amp;&amp;(c?(r.width1+=h.arrowPadX</t>
  </si>
  <si>
    <t>r.totalHeight=r.height1):r.totalWidth=r.width1</t>
  </si>
  <si>
    <t>r.totalWidth+=h.arrowPadX)</t>
  </si>
  <si>
    <t>a.remove();var f=r.totalWidth+e.pad.l+e.pad.r</t>
  </si>
  <si>
    <t>p=r.totalHeight+e.pad.t+e.pad.b</t>
  </si>
  <si>
    <t>d=t._fullLayout._size;r.lx=d.l+d.w*e.x</t>
  </si>
  <si>
    <t>r.ly=d.t+d.h*(1-e.y);var m=""left"";s.isRightAnchor(e)&amp;&amp;(r.lx-=f</t>
  </si>
  <si>
    <t>m=""right"")</t>
  </si>
  <si>
    <t>s.isCenterAnchor(e)&amp;&amp;(r.lx-=f/2</t>
  </si>
  <si>
    <t>m=""center"");var g=""top"";s.isBottomAnchor(e)&amp;&amp;(r.ly-=p</t>
  </si>
  <si>
    <t>g=""bottom"")</t>
  </si>
  <si>
    <t>s.isMiddleAnchor(e)&amp;&amp;(r.ly-=p/2</t>
  </si>
  <si>
    <t>g=""middle"")</t>
  </si>
  <si>
    <t>r.totalWidth=Math.ceil(r.totalWidth)</t>
  </si>
  <si>
    <t>r.totalHeight=Math.ceil(r.totalHeight)</t>
  </si>
  <si>
    <t>r.lx=Math.round(r.lx)</t>
  </si>
  <si>
    <t>r.ly=Math.round(r.ly)</t>
  </si>
  <si>
    <t>A(e)</t>
  </si>
  <si>
    <t>{x:e.x</t>
  </si>
  <si>
    <t>y:e.y</t>
  </si>
  <si>
    <t>l:f*({right:1</t>
  </si>
  <si>
    <t>center:.5}[m]||0)</t>
  </si>
  <si>
    <t>r:f*({left:1</t>
  </si>
  <si>
    <t>b:p*({top:1</t>
  </si>
  <si>
    <t>middle:.5}[g]||0)</t>
  </si>
  <si>
    <t>t:p*({bottom:1</t>
  </si>
  <si>
    <t>middle:.5}[g]||0)})}function A(t){return h.autoMarginIdRoot+t._index}function M(t</t>
  </si>
  <si>
    <t>n){n=n||{};var i=t.select("".""+h.itemRectClassName)</t>
  </si>
  <si>
    <t>a=t.select("".""+h.itemTextClassName)</t>
  </si>
  <si>
    <t>s=e.borderwidth</t>
  </si>
  <si>
    <t>c=r.index</t>
  </si>
  <si>
    <t>f=e._dims;o.setTranslate(t</t>
  </si>
  <si>
    <t>s+r.x</t>
  </si>
  <si>
    <t>s+r.y);var p=-1!==[""up""</t>
  </si>
  <si>
    <t>down""].indexOf(e.direction)</t>
  </si>
  <si>
    <t>d=n.height||(p?f.heights[c]:f.height1);i.attr({x:0</t>
  </si>
  <si>
    <t>width:n.width||(p?f.width1:f.widths[c])</t>
  </si>
  <si>
    <t>height:d});var m=e.font.size*u</t>
  </si>
  <si>
    <t>g=(l.lineCount(a)-1)*m/2;l.positionText(a</t>
  </si>
  <si>
    <t>h.textOffsetX</t>
  </si>
  <si>
    <t>d/2-g+h.textOffsetY)</t>
  </si>
  <si>
    <t>p?r.y+=f.heights[c]+r.yPad:r.x+=f.widths[c]+r.xPad</t>
  </si>
  <si>
    <t>r.index++}function S(t</t>
  </si>
  <si>
    <t>e){t.attr(h.menuIndexAttrName</t>
  </si>
  <si>
    <t>e||""-1"").selectAll(""g.""+h.dropdownButtonClassName).remove()}t.exports=function(t){var e=t._fullLayout</t>
  </si>
  <si>
    <t>r=s.filterVisible(e[h.name]);function a(e){i.autoMargin(t</t>
  </si>
  <si>
    <t>A(e))}var o=e._menulayer.selectAll(""g.""+h.containerClassName).data(r.length&gt;0?[0]:[]);if(o.enter().append(""g"").classed(h.containerClassName</t>
  </si>
  <si>
    <t>pointer"")</t>
  </si>
  <si>
    <t>o.exit().each((function(){n.select(this).selectAll(""g.""+h.headerGroupClassName).each(a)})).remove()</t>
  </si>
  <si>
    <t>0!==r.length){var l=o.selectAll(""g.""+h.headerGroupClassName).data(r</t>
  </si>
  <si>
    <t>p);l.enter().append(""g"").classed(h.headerGroupClassName</t>
  </si>
  <si>
    <t>!0);for(var c=s.ensureSingle(o</t>
  </si>
  <si>
    <t>h.dropdownButtonGroupClassName</t>
  </si>
  <si>
    <t>u=0;u&lt;r.length;u++){var v=r[u];k(t</t>
  </si>
  <si>
    <t>v)}var x=""updatemenus""+e._uid</t>
  </si>
  <si>
    <t>_=new f(t</t>
  </si>
  <si>
    <t>x);l.enter().size()&amp;&amp;(c.node().parentNode.appendChild(c.node())</t>
  </si>
  <si>
    <t>c.call(S))</t>
  </si>
  <si>
    <t>l.exit().each((function(t){c.call(S)</t>
  </si>
  <si>
    <t>a(t)})).remove()</t>
  </si>
  <si>
    <t>l.each((function(e){var r=n.select(this)</t>
  </si>
  <si>
    <t>a=""dropdown""===e.type?c:null;i.manageCommandObserver(t</t>
  </si>
  <si>
    <t>e.buttons</t>
  </si>
  <si>
    <t>(function(n){m(t</t>
  </si>
  <si>
    <t>e.buttons[n.index]</t>
  </si>
  <si>
    <t>n.index</t>
  </si>
  <si>
    <t>dropdown""===e.type?(g(t</t>
  </si>
  <si>
    <t>d(c</t>
  </si>
  <si>
    <t>e)&amp;&amp;y(t</t>
  </si>
  <si>
    <t>e)):y(t</t>
  </si>
  <si>
    <t>46230:function(t</t>
  </si>
  <si>
    <t>r){""use strict"";var n=r(71559);t.exports={moduleType:""component""</t>
  </si>
  <si>
    <t>layoutAttributes:r(85389)</t>
  </si>
  <si>
    <t>supplyLayoutDefaults:r(42746)</t>
  </si>
  <si>
    <t>draw:r(40974)}}</t>
  </si>
  <si>
    <t>21736:function(t</t>
  </si>
  <si>
    <t>r){""use strict"";t.exports=s;var n=r(45568)</t>
  </si>
  <si>
    <t>o=r(34809);function s(t</t>
  </si>
  <si>
    <t>r){this.gd=t</t>
  </si>
  <si>
    <t>this.container=e</t>
  </si>
  <si>
    <t>this.id=r</t>
  </si>
  <si>
    <t>this.position=null</t>
  </si>
  <si>
    <t>this.translateX=null</t>
  </si>
  <si>
    <t>this.translateY=null</t>
  </si>
  <si>
    <t>this.hbar=null</t>
  </si>
  <si>
    <t>this.vbar=null</t>
  </si>
  <si>
    <t>this.bg=this.container.selectAll(""rect.scrollbox-bg"").data([0])</t>
  </si>
  <si>
    <t>this.bg.exit().on("".drag""</t>
  </si>
  <si>
    <t>null).on(""wheel""</t>
  </si>
  <si>
    <t>null).remove()</t>
  </si>
  <si>
    <t>this.bg.enter().append(""rect"").classed(""scrollbox-bg""</t>
  </si>
  <si>
    <t>!0).style(""pointer-events""</t>
  </si>
  <si>
    <t>all"").attr({opacity:0</t>
  </si>
  <si>
    <t>height:0})}s.barWidth=2</t>
  </si>
  <si>
    <t>s.barLength=20</t>
  </si>
  <si>
    <t>s.barRadius=2</t>
  </si>
  <si>
    <t>s.barPad=1</t>
  </si>
  <si>
    <t>s.barColor=""#808BA4""</t>
  </si>
  <si>
    <t>s.prototype.enable=function(t</t>
  </si>
  <si>
    <t>r){var o=this.gd._fullLayout</t>
  </si>
  <si>
    <t>l=o.width</t>
  </si>
  <si>
    <t>c=o.height;this.position=t;var u</t>
  </si>
  <si>
    <t>d=this.position.l</t>
  </si>
  <si>
    <t>m=this.position.w</t>
  </si>
  <si>
    <t>g=this.position.t</t>
  </si>
  <si>
    <t>y=this.position.h</t>
  </si>
  <si>
    <t>v=this.position.direction</t>
  </si>
  <si>
    <t>x=""down""===v</t>
  </si>
  <si>
    <t>_=""left""===v</t>
  </si>
  <si>
    <t>b=""up""===v</t>
  </si>
  <si>
    <t>w=m</t>
  </si>
  <si>
    <t>T=y;x||_||""right""===v||b||(this.position.direction=""down""</t>
  </si>
  <si>
    <t>x=!0)</t>
  </si>
  <si>
    <t>x||b?(h=(u=d)+w</t>
  </si>
  <si>
    <t>x?(f=g</t>
  </si>
  <si>
    <t>T=(p=Math.min(f+T</t>
  </si>
  <si>
    <t>c))-f):T=(p=g+T)-(f=Math.max(p-T</t>
  </si>
  <si>
    <t>0))):(p=(f=g)+T</t>
  </si>
  <si>
    <t>_?w=(h=d+w)-(u=Math.max(h-w</t>
  </si>
  <si>
    <t>0)):(u=d</t>
  </si>
  <si>
    <t>w=(h=Math.min(u+w</t>
  </si>
  <si>
    <t>l))-u))</t>
  </si>
  <si>
    <t>this._box={l:u</t>
  </si>
  <si>
    <t>t:f</t>
  </si>
  <si>
    <t>w:w</t>
  </si>
  <si>
    <t>h:T};var k=m&gt;w</t>
  </si>
  <si>
    <t>A=s.barLength+2*s.barPad</t>
  </si>
  <si>
    <t>M=s.barWidth+2*s.barPad</t>
  </si>
  <si>
    <t>S=d</t>
  </si>
  <si>
    <t>E=g+y;E+M&gt;c&amp;&amp;(E=c-M);var C=this.container.selectAll(""rect.scrollbar-horizontal"").data(k?[0]:[]);C.exit().on("".drag""</t>
  </si>
  <si>
    <t>C.enter().append(""rect"").classed(""scrollbar-horizontal""</t>
  </si>
  <si>
    <t>!0).call(i.fill</t>
  </si>
  <si>
    <t>s.barColor)</t>
  </si>
  <si>
    <t>k?(this.hbar=C.attr({rx:s.barRadius</t>
  </si>
  <si>
    <t>ry:s.barRadius</t>
  </si>
  <si>
    <t>x:S</t>
  </si>
  <si>
    <t>y:E</t>
  </si>
  <si>
    <t>width:A</t>
  </si>
  <si>
    <t>height:M})</t>
  </si>
  <si>
    <t>this._hbarXMin=S+A/2</t>
  </si>
  <si>
    <t>this._hbarTranslateMax=w-A):(delete this.hbar</t>
  </si>
  <si>
    <t>delete this._hbarXMin</t>
  </si>
  <si>
    <t>delete this._hbarTranslateMax);var L=y&gt;T</t>
  </si>
  <si>
    <t>I=s.barWidth+2*s.barPad</t>
  </si>
  <si>
    <t>P=s.barLength+2*s.barPad</t>
  </si>
  <si>
    <t>z=d+m</t>
  </si>
  <si>
    <t>O=g;z+I&gt;l&amp;&amp;(z=l-I);var D=this.container.selectAll(""rect.scrollbar-vertical"").data(L?[0]:[]);D.exit().on("".drag""</t>
  </si>
  <si>
    <t>D.enter().append(""rect"").classed(""scrollbar-vertical""</t>
  </si>
  <si>
    <t>L?(this.vbar=D.attr({rx:s.barRadius</t>
  </si>
  <si>
    <t>x:z</t>
  </si>
  <si>
    <t>y:O</t>
  </si>
  <si>
    <t>width:I</t>
  </si>
  <si>
    <t>height:P})</t>
  </si>
  <si>
    <t>this._vbarYMin=O+P/2</t>
  </si>
  <si>
    <t>this._vbarTranslateMax=T-P):(delete this.vbar</t>
  </si>
  <si>
    <t>delete this._vbarYMin</t>
  </si>
  <si>
    <t>delete this._vbarTranslateMax);var R=this.id</t>
  </si>
  <si>
    <t>F=u-.5</t>
  </si>
  <si>
    <t>B=L?h+I+.5:h+.5</t>
  </si>
  <si>
    <t>N=f-.5</t>
  </si>
  <si>
    <t>j=k?p+M+.5:p+.5</t>
  </si>
  <si>
    <t>U=o._topdefs.selectAll(""#""+R).data(k||L?[0]:[]);if(U.exit().remove()</t>
  </si>
  <si>
    <t>U.enter().append(""clipPath"").attr(""id""</t>
  </si>
  <si>
    <t>R).append(""rect"")</t>
  </si>
  <si>
    <t>k||L?(this._clipRect=U.select(""rect"").attr({x:Math.floor(F)</t>
  </si>
  <si>
    <t>y:Math.floor(N)</t>
  </si>
  <si>
    <t>width:Math.ceil(B)-Math.floor(F)</t>
  </si>
  <si>
    <t>height:Math.ceil(j)-Math.floor(N)})</t>
  </si>
  <si>
    <t>this.container.call(a.setClipUrl</t>
  </si>
  <si>
    <t>this.gd)</t>
  </si>
  <si>
    <t>this.bg.attr({x:d</t>
  </si>
  <si>
    <t>y:g</t>
  </si>
  <si>
    <t>width:m</t>
  </si>
  <si>
    <t>height:y})):(this.bg.attr({width:0</t>
  </si>
  <si>
    <t>height:0})</t>
  </si>
  <si>
    <t>this.container.on(""wheel""</t>
  </si>
  <si>
    <t>null).on("".drag""</t>
  </si>
  <si>
    <t>null).call(a.setClipUrl</t>
  </si>
  <si>
    <t>delete this._clipRect)</t>
  </si>
  <si>
    <t>k||L){var V=n.behavior.drag().on(""dragstart""</t>
  </si>
  <si>
    <t>(function(){n.event.sourceEvent.preventDefault()})).on(""drag""</t>
  </si>
  <si>
    <t>this._onBoxDrag.bind(this));this.container.on(""wheel""</t>
  </si>
  <si>
    <t>this._onBoxWheel.bind(this)).on("".drag""</t>
  </si>
  <si>
    <t>null).call(V);var q=n.behavior.drag().on(""dragstart""</t>
  </si>
  <si>
    <t>(function(){n.event.sourceEvent.preventDefault()</t>
  </si>
  <si>
    <t>n.event.sourceEvent.stopPropagation()})).on(""drag""</t>
  </si>
  <si>
    <t>this._onBarDrag.bind(this));k&amp;&amp;this.hbar.on("".drag""</t>
  </si>
  <si>
    <t>null).call(q)</t>
  </si>
  <si>
    <t>L&amp;&amp;this.vbar.on("".drag""</t>
  </si>
  <si>
    <t>null).call(q)}this.setTranslate(e</t>
  </si>
  <si>
    <t>s.prototype.disable=function(){(this.hbar||this.vbar)&amp;&amp;(this.bg.attr({width:0</t>
  </si>
  <si>
    <t>this.hbar&amp;&amp;(this.hbar.on("".drag""</t>
  </si>
  <si>
    <t>this.hbar.remove()</t>
  </si>
  <si>
    <t>delete this.hbar</t>
  </si>
  <si>
    <t>delete this._hbarTranslateMax)</t>
  </si>
  <si>
    <t>this.vbar&amp;&amp;(this.vbar.on("".drag""</t>
  </si>
  <si>
    <t>this.vbar.remove()</t>
  </si>
  <si>
    <t>delete this.vbar</t>
  </si>
  <si>
    <t>delete this._vbarTranslateMax)}</t>
  </si>
  <si>
    <t>s.prototype._onBoxDrag=function(){var t=this.translateX</t>
  </si>
  <si>
    <t>e=this.translateY;this.hbar&amp;&amp;(t-=n.event.dx)</t>
  </si>
  <si>
    <t>this.vbar&amp;&amp;(e-=n.event.dy)</t>
  </si>
  <si>
    <t>this.setTranslate(t</t>
  </si>
  <si>
    <t>s.prototype._onBoxWheel=function(){var t=this.translateX</t>
  </si>
  <si>
    <t>e=this.translateY;this.hbar&amp;&amp;(t+=n.event.deltaY)</t>
  </si>
  <si>
    <t>this.vbar&amp;&amp;(e+=n.event.deltaY)</t>
  </si>
  <si>
    <t>s.prototype._onBarDrag=function(){var t=this.translateX</t>
  </si>
  <si>
    <t>e=this.translateY;if(this.hbar){var r=t+this._hbarXMin</t>
  </si>
  <si>
    <t>i=r+this._hbarTranslateMax;t=(o.constrain(n.event.x</t>
  </si>
  <si>
    <t>i)-r)/(i-r)*(this.position.w-this._box.w)}if(this.vbar){var a=e+this._vbarYMin</t>
  </si>
  <si>
    <t>s=a+this._vbarTranslateMax;e=(o.constrain(n.event.y</t>
  </si>
  <si>
    <t>s)-a)/(s-a)*(this.position.h-this._box.h)}this.setTranslate(t</t>
  </si>
  <si>
    <t>s.prototype.setTranslate=function(t</t>
  </si>
  <si>
    <t>e){var r=this.position.w-this._box.w</t>
  </si>
  <si>
    <t>n=this.position.h-this._box.h;if(t=o.constrain(t||0</t>
  </si>
  <si>
    <t>e=o.constrain(e||0</t>
  </si>
  <si>
    <t>this.translateX=t</t>
  </si>
  <si>
    <t>this.translateY=e</t>
  </si>
  <si>
    <t>this.container.call(a.setTranslate</t>
  </si>
  <si>
    <t>this._box.l-this.position.l-t</t>
  </si>
  <si>
    <t>this._box.t-this.position.t-e)</t>
  </si>
  <si>
    <t>this._clipRect&amp;&amp;this._clipRect.attr({x:Math.floor(this.position.l+t-.5)</t>
  </si>
  <si>
    <t>y:Math.floor(this.position.t+e-.5)})</t>
  </si>
  <si>
    <t>this.hbar){var i=t/r;this.hbar.call(a.setTranslate</t>
  </si>
  <si>
    <t>t+i*this._hbarTranslateMax</t>
  </si>
  <si>
    <t>e)}if(this.vbar){var s=e/n;this.vbar.call(a.setTranslate</t>
  </si>
  <si>
    <t>e+s*this._vbarTranslateMax)}}}</t>
  </si>
  <si>
    <t>4530:function(t){""use strict"";t.exports={FROM_BL:{left:0</t>
  </si>
  <si>
    <t>center:.5</t>
  </si>
  <si>
    <t>right:1</t>
  </si>
  <si>
    <t>bottom:0</t>
  </si>
  <si>
    <t>middle:.5</t>
  </si>
  <si>
    <t>top:1}</t>
  </si>
  <si>
    <t>FROM_TL:{left:0</t>
  </si>
  <si>
    <t>top:0}</t>
  </si>
  <si>
    <t>FROM_BR:{left:1</t>
  </si>
  <si>
    <t>right:0</t>
  </si>
  <si>
    <t>LINE_SPACING:1.3</t>
  </si>
  <si>
    <t>CAP_SHIFT:.7</t>
  </si>
  <si>
    <t>MID_SHIFT:.35</t>
  </si>
  <si>
    <t>OPPOSITE_SIDE:{left:""right""</t>
  </si>
  <si>
    <t>right:""left""</t>
  </si>
  <si>
    <t>top:""bottom""</t>
  </si>
  <si>
    <t>bottom:""top""}}}</t>
  </si>
  <si>
    <t>35081:function(t){""use strict"";t.exports={axisRefDescription:function(t</t>
  </si>
  <si>
    <t>r){return[""If set to a""</t>
  </si>
  <si>
    <t>axis id (e.g. *""+t+""* or""</t>
  </si>
  <si>
    <t>*""+t+""2*)</t>
  </si>
  <si>
    <t xml:space="preserve"> the `""+t+""` position refers to a""</t>
  </si>
  <si>
    <t>coordinate. If set to *paper*</t>
  </si>
  <si>
    <t xml:space="preserve"> the `""+t+""`""</t>
  </si>
  <si>
    <t>position refers to the distance from the""</t>
  </si>
  <si>
    <t>of the plotting""</t>
  </si>
  <si>
    <t>area in normalized coordinates where *0* (*1*) corresponds to the""</t>
  </si>
  <si>
    <t>(""+r+""). If set to a""</t>
  </si>
  <si>
    <t>axis ID followed by""</t>
  </si>
  <si>
    <t>*domain* (separated by a space)</t>
  </si>
  <si>
    <t xml:space="preserve"> the position behaves like for""</t>
  </si>
  <si>
    <t>*paper*</t>
  </si>
  <si>
    <t xml:space="preserve"> but refers to the distance in fractions of the domain""</t>
  </si>
  <si>
    <t>length from the""</t>
  </si>
  <si>
    <t>of the domain of that axis: e.g.</t>
  </si>
  <si>
    <t>*""+t+""2 domain* refers to the domain of the second""</t>
  </si>
  <si>
    <t xml:space="preserve"> axis and a""</t>
  </si>
  <si>
    <t>position of 0.5 refers to the""</t>
  </si>
  <si>
    <t>point between the""</t>
  </si>
  <si>
    <t>and the""</t>
  </si>
  <si>
    <t>of the domain of the""</t>
  </si>
  <si>
    <t>axis.""].join("" "")}}}</t>
  </si>
  <si>
    <t>20909:function(t){""use strict"";t.exports={INCREASING:{COLOR:""#3D9970""</t>
  </si>
  <si>
    <t>SYMBOL:""â–²""}</t>
  </si>
  <si>
    <t>DECREASING:{COLOR:""#FF4136""</t>
  </si>
  <si>
    <t>SYMBOL:""â–¼""}}}</t>
  </si>
  <si>
    <t>87296:function(t){""use strict"";t.exports={FORMAT_LINK:""https://github.com/d3/d3-format/tree/v1.4.5#d3-format""</t>
  </si>
  <si>
    <t>DATE_FORMAT_LINK:""https://github.com/d3/d3-time-format/tree/v2.2.3#locale_format""}}</t>
  </si>
  <si>
    <t>20726:function(t){""use strict"";t.exports={COMPARISON_OPS:[""=""</t>
  </si>
  <si>
    <t>!=""</t>
  </si>
  <si>
    <t>&lt;""</t>
  </si>
  <si>
    <t>&gt;=""</t>
  </si>
  <si>
    <t>&gt;""</t>
  </si>
  <si>
    <t>&lt;=""]</t>
  </si>
  <si>
    <t>COMPARISON_OPS2:[""=""</t>
  </si>
  <si>
    <t>INTERVAL_OPS:[""[]""</t>
  </si>
  <si>
    <t>()""</t>
  </si>
  <si>
    <t>[)""</t>
  </si>
  <si>
    <t>(]""</t>
  </si>
  <si>
    <t>][""</t>
  </si>
  <si>
    <t>)(""</t>
  </si>
  <si>
    <t>](""</t>
  </si>
  <si>
    <t>)[""]</t>
  </si>
  <si>
    <t>SET_OPS:[""{}""</t>
  </si>
  <si>
    <t>}{""]</t>
  </si>
  <si>
    <t>CONSTRAINT_REDUCTION:{""="":""=""</t>
  </si>
  <si>
    <t>&lt;"":""&lt;""</t>
  </si>
  <si>
    <t>&lt;="":""&lt;""</t>
  </si>
  <si>
    <t>&gt;"":""&gt;""</t>
  </si>
  <si>
    <t>&gt;="":""&gt;""</t>
  </si>
  <si>
    <t>[]"":""[]""</t>
  </si>
  <si>
    <t>()"":""[]""</t>
  </si>
  <si>
    <t>[)"":""[]""</t>
  </si>
  <si>
    <t>(]"":""[]""</t>
  </si>
  <si>
    <t>]["":""][""</t>
  </si>
  <si>
    <t>)("":""][""</t>
  </si>
  <si>
    <t>]("":""][""</t>
  </si>
  <si>
    <t>)["":""][""}}}</t>
  </si>
  <si>
    <t>84770:function(t){""use strict"";t.exports={solid:[[]</t>
  </si>
  <si>
    <t>dot:[[.5</t>
  </si>
  <si>
    <t>200]</t>
  </si>
  <si>
    <t>dash:[[.5</t>
  </si>
  <si>
    <t>50]</t>
  </si>
  <si>
    <t>longdash:[[.5</t>
  </si>
  <si>
    <t>dashdot:[[.5</t>
  </si>
  <si>
    <t>longdashdot:[[.5</t>
  </si>
  <si>
    <t>10]}}</t>
  </si>
  <si>
    <t>49467:function(t){""use strict"";t.exports={circle:""â—""</t>
  </si>
  <si>
    <t>circle-open"":""â—‹""</t>
  </si>
  <si>
    <t>square:""â– ""</t>
  </si>
  <si>
    <t>square-open"":""â–¡""</t>
  </si>
  <si>
    <t>diamond:""â—†""</t>
  </si>
  <si>
    <t>diamond-open"":""â—‡""</t>
  </si>
  <si>
    <t>cross:""+""</t>
  </si>
  <si>
    <t>x:""âŒ""}}</t>
  </si>
  <si>
    <t>20438:function(t){""use strict"";t.exports={SHOW_PLACEHOLDER:100</t>
  </si>
  <si>
    <t>HIDE_PLACEHOLDER:1e3</t>
  </si>
  <si>
    <t>DESELECTDIM:.2}}</t>
  </si>
  <si>
    <t>63821:function(t){""use strict"";t.exports={BADNUM:void 0</t>
  </si>
  <si>
    <t>FP_SAFE:1e-4*Number.MAX_VALUE</t>
  </si>
  <si>
    <t>ONEMAXYEAR:316224e5</t>
  </si>
  <si>
    <t>ONEAVGYEAR:315576e5</t>
  </si>
  <si>
    <t>ONEMINYEAR:31536e6</t>
  </si>
  <si>
    <t>ONEMAXQUARTER:79488e5</t>
  </si>
  <si>
    <t>ONEAVGQUARTER:78894e5</t>
  </si>
  <si>
    <t>ONEMINQUARTER:76896e5</t>
  </si>
  <si>
    <t>ONEMAXMONTH:26784e5</t>
  </si>
  <si>
    <t>ONEAVGMONTH:26298e5</t>
  </si>
  <si>
    <t>ONEMINMONTH:24192e5</t>
  </si>
  <si>
    <t>ONEWEEK:6048e5</t>
  </si>
  <si>
    <t>ONEDAY:864e5</t>
  </si>
  <si>
    <t>ONEHOUR:36e5</t>
  </si>
  <si>
    <t>ONEMIN:6e4</t>
  </si>
  <si>
    <t>ONESEC:1e3</t>
  </si>
  <si>
    <t>ONEMILLI:1</t>
  </si>
  <si>
    <t>ONEMICROSEC:.001</t>
  </si>
  <si>
    <t>EPOCHJD:2440587.5</t>
  </si>
  <si>
    <t>ALMOST_EQUAL:.999999</t>
  </si>
  <si>
    <t>LOG_CLIP:10</t>
  </si>
  <si>
    <t>MINUS_SIGN:""âˆ’""}}</t>
  </si>
  <si>
    <t>1837:function(t</t>
  </si>
  <si>
    <t>e){""use strict"";e.CSS_DECLARATIONS=[[""image-rendering""</t>
  </si>
  <si>
    <t>optimizeSpeed""]</t>
  </si>
  <si>
    <t>[""image-rendering""</t>
  </si>
  <si>
    <t>-moz-crisp-edges""]</t>
  </si>
  <si>
    <t>-o-crisp-edges""]</t>
  </si>
  <si>
    <t>-webkit-optimize-contrast""]</t>
  </si>
  <si>
    <t>optimize-contrast""]</t>
  </si>
  <si>
    <t>crisp-edges""]</t>
  </si>
  <si>
    <t>pixelated""]]</t>
  </si>
  <si>
    <t>e.STYLE=e.CSS_DECLARATIONS.map((function(t){return t.join("": "")+""; ""})).join("""")}</t>
  </si>
  <si>
    <t>62972:function(t</t>
  </si>
  <si>
    <t>e){""use strict"";e.xmlns=""http://www.w3.org/2000/xmlns/""</t>
  </si>
  <si>
    <t>e.svg=""http://www.w3.org/2000/svg""</t>
  </si>
  <si>
    <t>e.xlink=""http://www.w3.org/1999/xlink""</t>
  </si>
  <si>
    <t>e.svgAttrs={xmlns:e.svg</t>
  </si>
  <si>
    <t>xmlns:xlink"":e.xlink}}</t>
  </si>
  <si>
    <t>17430:function(t</t>
  </si>
  <si>
    <t>r){""use strict"";e.version=r(29697).version</t>
  </si>
  <si>
    <t>r(71116)</t>
  </si>
  <si>
    <t>r(6713);for(var n=r(33626)</t>
  </si>
  <si>
    <t>i=e.register=n.register</t>
  </si>
  <si>
    <t>a=r(90742)</t>
  </si>
  <si>
    <t>o=Object.keys(a)</t>
  </si>
  <si>
    <t>s=0;s&lt;o.length;s++){var l=o[s];""_""!==l.charAt(0)&amp;&amp;(e[l]=a[l])</t>
  </si>
  <si>
    <t>i({moduleType:""apiMethod""</t>
  </si>
  <si>
    <t>name:l</t>
  </si>
  <si>
    <t>fn:a[l]})}i(r(69693))</t>
  </si>
  <si>
    <t>i([r(3599)</t>
  </si>
  <si>
    <t>r(83348)</t>
  </si>
  <si>
    <t>r(44844)</t>
  </si>
  <si>
    <t>r(43701)</t>
  </si>
  <si>
    <t>r(15553)</t>
  </si>
  <si>
    <t>r(46230)</t>
  </si>
  <si>
    <t>r(15359)</t>
  </si>
  <si>
    <t>r(55429)</t>
  </si>
  <si>
    <t>r(44453)</t>
  </si>
  <si>
    <t>r(83595)</t>
  </si>
  <si>
    <t>r(77901)</t>
  </si>
  <si>
    <t>r(88856)</t>
  </si>
  <si>
    <t>r(96919)</t>
  </si>
  <si>
    <t>r(82494)</t>
  </si>
  <si>
    <t>r(32141)</t>
  </si>
  <si>
    <t>r(95433)])</t>
  </si>
  <si>
    <t>i([r(30227)</t>
  </si>
  <si>
    <t>r(44611)])</t>
  </si>
  <si>
    <t>window.PlotlyLocales&amp;&amp;Array.isArray(window.PlotlyLocales)&amp;&amp;(i(window.PlotlyLocales)</t>
  </si>
  <si>
    <t>delete window.PlotlyLocales)</t>
  </si>
  <si>
    <t>e.Icons=r(35188);var c=r(32141)</t>
  </si>
  <si>
    <t>u=r(44122);e.Plots={resize:u.resize</t>
  </si>
  <si>
    <t>graphJson:u.graphJson</t>
  </si>
  <si>
    <t>sendDataToCloud:u.sendDataToCloud}</t>
  </si>
  <si>
    <t>e.Fx={hover:c.hover</t>
  </si>
  <si>
    <t>unhover:c.unhover</t>
  </si>
  <si>
    <t>loneHover:c.loneHover</t>
  </si>
  <si>
    <t>loneUnhover:c.loneUnhover}</t>
  </si>
  <si>
    <t>e.Snapshot=r(6170)</t>
  </si>
  <si>
    <t>e.PlotSchema=r(57297)}</t>
  </si>
  <si>
    <t>35188:function(t){""use strict"";t.exports={undo:{width:857.1</t>
  </si>
  <si>
    <t>height:1e3</t>
  </si>
  <si>
    <t>path:""m857 350q0-87-34-166t-91-137-137-92-166-34q-96 0-183 41t-147 114q-4 6-4 13t5 11l76 77q6 5 14 5 9-1 13-7 41-53 100-82t126-29q58 0 110 23t92 61 61 91 22 111-22 111-61 91-92 61-110 23q-55 0-105-20t-90-57l77-77q17-16 8-38-10-23-33-23h-250q-15 0-25 11t-11 25v250q0 24 22 33 22 10 39-8l72-72q60 57 137 88t159 31q87 0 166-34t137-92 91-137 34-166z""</t>
  </si>
  <si>
    <t>transform:""matrix(1 0 0 -1 0 850)""}</t>
  </si>
  <si>
    <t>home:{width:928.6</t>
  </si>
  <si>
    <t>path:""m786 296v-267q0-15-11-26t-25-10h-214v214h-143v-214h-214q-15 0-25 10t-11 26v267q0 1 0 2t0 2l321 264 321-264q1-1 1-4z m124 39l-34-41q-5-5-12-6h-2q-7 0-12 3l-386 322-386-322q-7-4-13-4-7 2-12 7l-35 41q-4 5-3 13t6 12l401 334q18 15 42 15t43-15l136-114v109q0 8 5 13t13 5h107q8 0 13-5t5-13v-227l122-102q5-5 6-12t-4-13z""</t>
  </si>
  <si>
    <t>camera-retro"":{width:1e3</t>
  </si>
  <si>
    <t>path:""m518 386q0 8-5 13t-13 5q-37 0-63-27t-26-63q0-8 5-13t13-5 12 5 5 13q0 23 16 38t38 16q8 0 13 5t5 13z m125-73q0-59-42-101t-101-42-101 42-42 101 42 101 101 42 101-42 42-101z m-572-320h858v71h-858v-71z m643 320q0 89-62 152t-152 62-151-62-63-152 63-151 151-63 152 63 62 151z m-571 358h214v72h-214v-72z m-72-107h858v143h-462l-36-71h-360v-72z m929 143v-714q0-30-21-51t-50-21h-858q-29 0-50 21t-21 51v714q0 30 21 51t50 21h858q29 0 50-21t21-51z""</t>
  </si>
  <si>
    <t>zoombox:{width:1e3</t>
  </si>
  <si>
    <t>path:""m1000-25l-250 251c40 63 63 138 63 218 0 224-182 406-407 406-224 0-406-182-406-406s183-406 407-406c80 0 155 22 218 62l250-250 125 125z m-812 250l0 438 437 0 0-438-437 0z m62 375l313 0 0-312-313 0 0 312z""</t>
  </si>
  <si>
    <t>pan:{width:1e3</t>
  </si>
  <si>
    <t>path:""m1000 350l-187 188 0-125-250 0 0 250 125 0-188 187-187-187 125 0 0-250-250 0 0 125-188-188 186-187 0 125 252 0 0-250-125 0 187-188 188 188-125 0 0 250 250 0 0-126 187 188z""</t>
  </si>
  <si>
    <t>zoom_plus:{width:875</t>
  </si>
  <si>
    <t>path:""m1 787l0-875 875 0 0 875-875 0z m687-500l-187 0 0-187-125 0 0 187-188 0 0 125 188 0 0 187 125 0 0-187 187 0 0-125z""</t>
  </si>
  <si>
    <t>zoom_minus:{width:875</t>
  </si>
  <si>
    <t>path:""m0 788l0-876 875 0 0 876-875 0z m688-500l-500 0 0 125 500 0 0-125z""</t>
  </si>
  <si>
    <t>autoscale:{width:1e3</t>
  </si>
  <si>
    <t>path:""m250 850l-187 0-63 0 0-62 0-188 63 0 0 188 187 0 0 62z m688 0l-188 0 0-62 188 0 0-188 62 0 0 188 0 62-62 0z m-875-938l0 188-63 0 0-188 0-62 63 0 187 0 0 62-187 0z m875 188l0-188-188 0 0-62 188 0 62 0 0 62 0 188-62 0z m-125 188l-1 0-93-94-156 156 156 156 92-93 2 0 0 250-250 0 0-2 93-92-156-156-156 156 94 92 0 2-250 0 0-250 0 0 93 93 157-156-157-156-93 94 0 0 0-250 250 0 0 0-94 93 156 157 156-157-93-93 0 0 250 0 0 250z""</t>
  </si>
  <si>
    <t>tooltip_basic:{width:1500</t>
  </si>
  <si>
    <t>path:""m375 725l0 0-375-375 375-374 0-1 1125 0 0 750-1125 0z""</t>
  </si>
  <si>
    <t>tooltip_compare:{width:1125</t>
  </si>
  <si>
    <t>path:""m187 786l0 2-187-188 188-187 0 0 937 0 0 373-938 0z m0-499l0 1-187-188 188-188 0 0 937 0 0 376-938-1z""</t>
  </si>
  <si>
    <t>plotlylogo:{width:1542</t>
  </si>
  <si>
    <t>path:""m0-10h182v-140h-182v140z m228 146h183v-286h-183v286z m225 714h182v-1000h-182v1000z m225-285h182v-715h-182v715z m225 142h183v-857h-183v857z m231-428h182v-429h-182v429z m225-291h183v-138h-183v138z""</t>
  </si>
  <si>
    <t>z-axis"":{width:1e3</t>
  </si>
  <si>
    <t>path:""m833 5l-17 108v41l-130-65 130-66c0 0 0 38 0 39 0-1 36-14 39-25 4-15-6-22-16-30-15-12-39-16-56-20-90-22-187-23-279-23-261 0-341 34-353 59 3 60 228 110 228 110-140-8-351-35-351-116 0-120 293-142 474-142 155 0 477 22 477 142 0 50-74 79-163 96z m-374 94c-58-5-99-21-99-40 0-24 65-43 144-43 79 0 143 19 143 43 0 19-42 34-98 40v216h87l-132 135-133-135h88v-216z m167 515h-136v1c16 16 31 34 46 52l84 109v54h-230v-71h124v-1c-16-17-28-32-44-51l-89-114v-51h245v72z""</t>
  </si>
  <si>
    <t>3d_rotate"":{width:1e3</t>
  </si>
  <si>
    <t>path:""m922 660c-5 4-9 7-14 11-359 263-580-31-580-31l-102 28 58-400c0 1 1 1 2 2 118 108 351 249 351 249s-62 27-100 42c88 83 222 183 347 122 16-8 30-17 44-27-2 1-4 2-6 4z m36-329c0 0 64 229-88 296-62 27-124 14-175-11 157-78 225-208 249-266 8-19 11-31 11-31 2 5 6 15 11 32-5-13-8-20-8-20z m-775-239c70-31 117-50 198-32-121 80-199 346-199 346l-96-15-58-12c0 0 55-226 155-287z m603 133l-317-139c0 0 4-4 19-14 7-5 24-15 24-15s-177-147-389 4c235-287 536-112 536-112l31-22 100 299-4-1z m-298-153c6-4 14-9 24-15 0 0-17 10-24 15z""</t>
  </si>
  <si>
    <t>camera:{width:1e3</t>
  </si>
  <si>
    <t>path:""m500 450c-83 0-150-67-150-150 0-83 67-150 150-150 83 0 150 67 150 150 0 83-67 150-150 150z m400 150h-120c-16 0-34 13-39 29l-31 93c-6 15-23 28-40 28h-340c-16 0-34-13-39-28l-31-94c-6-15-23-28-40-28h-120c-55 0-100-45-100-100v-450c0-55 45-100 100-100h800c55 0 100 45 100 100v450c0 55-45 100-100 100z m-400-550c-138 0-250 112-250 250 0 138 112 250 250 250 138 0 250-112 250-250 0-138-112-250-250-250z m365 380c-19 0-35 16-35 35 0 19 16 35 35 35 19 0 35-16 35-35 0-19-16-35-35-35z""</t>
  </si>
  <si>
    <t>movie:{width:1e3</t>
  </si>
  <si>
    <t>path:""m938 413l-188-125c0 37-17 71-44 94 64 38 107 107 107 187 0 121-98 219-219 219-121 0-219-98-219-219 0-61 25-117 66-156h-115c30 33 49 76 49 125 0 103-84 187-187 187s-188-84-188-187c0-57 26-107 65-141-38-22-65-62-65-109v-250c0-70 56-126 125-126h500c69 0 125 56 125 126l188-126c34 0 62 28 62 63v375c0 35-28 63-62 63z m-750 0c-69 0-125 56-125 125s56 125 125 125 125-56 125-125-56-125-125-125z m406-1c-87 0-157 70-157 157 0 86 70 156 157 156s156-70 156-156-70-157-156-157z""</t>
  </si>
  <si>
    <t>question:{width:857.1</t>
  </si>
  <si>
    <t>path:""m500 82v107q0 8-5 13t-13 5h-107q-8 0-13-5t-5-13v-107q0-8 5-13t13-5h107q8 0 13 5t5 13z m143 375q0 49-31 91t-77 65-95 23q-136 0-207-119-9-14 4-24l74-55q4-4 10-4 9 0 14 7 30 38 48 51 19 14 48 14 27 0 48-15t21-33q0-21-11-34t-38-25q-35-16-65-48t-29-70v-20q0-8 5-13t13-5h107q8 0 13 5t5 13q0 10 12 27t30 28q18 10 28 16t25 19 25 27 16 34 7 45z m214-107q0-117-57-215t-156-156-215-58-216 58-155 156-58 215 58 215 155 156 216 58 215-58 156-156 57-215z""</t>
  </si>
  <si>
    <t>disk:{width:857.1</t>
  </si>
  <si>
    <t>path:""m214-7h429v214h-429v-214z m500 0h72v500q0 8-6 21t-11 20l-157 156q-5 6-19 12t-22 5v-232q0-22-15-38t-38-16h-322q-22 0-37 16t-16 38v232h-72v-714h72v232q0 22 16 38t37 16h465q22 0 38-16t15-38v-232z m-214 518v178q0 8-5 13t-13 5h-107q-7 0-13-5t-5-13v-178q0-8 5-13t13-5h107q7 0 13 5t5 13z m357-18v-518q0-22-15-38t-38-16h-750q-23 0-38 16t-16 38v750q0 22 16 38t38 16h517q23 0 50-12t42-26l156-157q16-15 27-42t11-49z""</t>
  </si>
  <si>
    <t>drawopenpath:{width:70</t>
  </si>
  <si>
    <t>height:70</t>
  </si>
  <si>
    <t>path:""M33.21</t>
  </si>
  <si>
    <t>85.65a7.31</t>
  </si>
  <si>
    <t>1-2.59-.48c-8.16-3.11-9.27-19.8-9.88-41.3-.1-3.58-.19-6.68-.35-9-.15-2.1-.67-3.48-1.43-3.79-2.13-.88-7.91</t>
  </si>
  <si>
    <t>2.32-12</t>
  </si>
  <si>
    <t>5.86L3</t>
  </si>
  <si>
    <t>32.38c1.87-1.64</t>
  </si>
  <si>
    <t>11.55-9.66</t>
  </si>
  <si>
    <t>18.27-6.9</t>
  </si>
  <si>
    <t>2.13.87</t>
  </si>
  <si>
    <t>2.43.26</t>
  </si>
  <si>
    <t>5.59.36</t>
  </si>
  <si>
    <t>9.25a224.17</t>
  </si>
  <si>
    <t>23.4c1.54</t>
  </si>
  <si>
    <t>12.4.84.32</t>
  </si>
  <si>
    <t>2.79-.46</t>
  </si>
  <si>
    <t>5.76-3.59L43</t>
  </si>
  <si>
    <t>80.07C41.53</t>
  </si>
  <si>
    <t>85.65ZM74.81</t>
  </si>
  <si>
    <t>69a11.34</t>
  </si>
  <si>
    <t>6.09-6.72L87.26</t>
  </si>
  <si>
    <t>38.35c-2.37.86-5.57</t>
  </si>
  <si>
    <t>3.42-6.61</t>
  </si>
  <si>
    <t>6L38.65</t>
  </si>
  <si>
    <t>72.14l8.42</t>
  </si>
  <si>
    <t>8.43ZM55</t>
  </si>
  <si>
    <t>46.27a7.91</t>
  </si>
  <si>
    <t>3.64-3.17l14.8-5.3</t>
  </si>
  <si>
    <t>8L76.11</t>
  </si>
  <si>
    <t>60.6l-.06.19a6.37</t>
  </si>
  <si>
    <t>3.43L48.25</t>
  </si>
  <si>
    <t>71Zm16.57</t>
  </si>
  <si>
    <t>7.82A6.9</t>
  </si>
  <si>
    <t>54.09Zm-4.05</t>
  </si>
  <si>
    <t>0a2.85</t>
  </si>
  <si>
    <t>1-2.85-2.85A2.86</t>
  </si>
  <si>
    <t>54.09Zm-4.13</t>
  </si>
  <si>
    <t>5.22L60.5</t>
  </si>
  <si>
    <t>72.7l2.86</t>
  </si>
  <si>
    <t>2.86ZM97.83</t>
  </si>
  <si>
    <t>22l-8.57</t>
  </si>
  <si>
    <t>8.57L89.26</t>
  </si>
  <si>
    <t>44.24Zm-13.69-8</t>
  </si>
  <si>
    <t>8-2.85</t>
  </si>
  <si>
    <t>2.85-8-8Z""</t>
  </si>
  <si>
    <t>transform:""matrix(1 0 0 1 -15 -15)""}</t>
  </si>
  <si>
    <t>drawclosedpath:{width:90</t>
  </si>
  <si>
    <t>height:90</t>
  </si>
  <si>
    <t>path:""M88.41</t>
  </si>
  <si>
    <t>21.12a26.56</t>
  </si>
  <si>
    <t>0-36.18</t>
  </si>
  <si>
    <t>0l-2.07</t>
  </si>
  <si>
    <t>2-2.07-2a26.57</t>
  </si>
  <si>
    <t>34.8L48</t>
  </si>
  <si>
    <t>90.12a3.22</t>
  </si>
  <si>
    <t>0l36-34.21a23.73</t>
  </si>
  <si>
    <t>0-34.79ZM84</t>
  </si>
  <si>
    <t>51.25a17.28</t>
  </si>
  <si>
    <t>0-25.47</t>
  </si>
  <si>
    <t>0l4.29</t>
  </si>
  <si>
    <t>4.07a3.23</t>
  </si>
  <si>
    <t>0l4.29-4.07a20</t>
  </si>
  <si>
    <t>25.46ZM66.76</t>
  </si>
  <si>
    <t>47.68h-33v6.91h33ZM53.35</t>
  </si>
  <si>
    <t>35H46.44V68h6.91Z""</t>
  </si>
  <si>
    <t>transform:""matrix(1 0 0 1 -5 -5)""}</t>
  </si>
  <si>
    <t>lasso:{width:1031</t>
  </si>
  <si>
    <t>path:""m1018 538c-36 207-290 336-568 286-277-48-473-256-436-463 10-57 36-108 76-151-13-66 11-137 68-183 34-28 75-41 114-42l-55-70 0 0c-2-1-3-2-4-3-10-14-8-34 5-45 14-11 34-8 45 4 1 1 2 3 2 5l0 0 113 140c16 11 31 24 45 40 4 3 6 7 8 11 48-3 100 0 151 9 278 48 473 255 436 462z m-624-379c-80 14-149 48-197 96 42 42 109 47 156 9 33-26 47-66 41-105z m-187-74c-19 16-33 37-39 60 50-32 109-55 174-68-42-25-95-24-135 8z m360 75c-34-7-69-9-102-8 8 62-16 128-68 170-73 59-175 54-244-5-9 20-16 40-20 61-28 159 121 317 333 354s407-60 434-217c28-159-121-318-333-355z""</t>
  </si>
  <si>
    <t>selectbox:{width:1e3</t>
  </si>
  <si>
    <t>path:""m0 850l0-143 143 0 0 143-143 0z m286 0l0-143 143 0 0 143-143 0z m285 0l0-143 143 0 0 143-143 0z m286 0l0-143 143 0 0 143-143 0z m-857-286l0-143 143 0 0 143-143 0z m857 0l0-143 143 0 0 143-143 0z m-857-285l0-143 143 0 0 143-143 0z m857 0l0-143 143 0 0 143-143 0z m-857-286l0-143 143 0 0 143-143 0z m286 0l0-143 143 0 0 143-143 0z m285 0l0-143 143 0 0 143-143 0z m286 0l0-143 143 0 0 143-143 0z""</t>
  </si>
  <si>
    <t>drawline:{width:70</t>
  </si>
  <si>
    <t>path:""M60.64</t>
  </si>
  <si>
    <t>62.3a11.29</t>
  </si>
  <si>
    <t>6.09-6.72l6.35-17.72L60.54</t>
  </si>
  <si>
    <t>25.31l-17.82</t>
  </si>
  <si>
    <t>6.4c-2.36.86-5.57</t>
  </si>
  <si>
    <t>3.41-6.6</t>
  </si>
  <si>
    <t>6L24.48</t>
  </si>
  <si>
    <t>65.5l8.42</t>
  </si>
  <si>
    <t>8.42ZM40.79</t>
  </si>
  <si>
    <t>39.63a7.89</t>
  </si>
  <si>
    <t>3.65-3.17l14.79-5.31</t>
  </si>
  <si>
    <t>8L61.94</t>
  </si>
  <si>
    <t>54l-.06.19a6.44</t>
  </si>
  <si>
    <t>3.43L34.07</t>
  </si>
  <si>
    <t>68l-3.62-3.63Zm16.57</t>
  </si>
  <si>
    <t>7.81a6.9</t>
  </si>
  <si>
    <t>0-6.89</t>
  </si>
  <si>
    <t>6.9A6.9</t>
  </si>
  <si>
    <t>47.44Zm-4</t>
  </si>
  <si>
    <t>0a2.86</t>
  </si>
  <si>
    <t>47.44Zm-4.13</t>
  </si>
  <si>
    <t>5.22L46.33</t>
  </si>
  <si>
    <t>66.05l2.86</t>
  </si>
  <si>
    <t>2.86ZM83.65</t>
  </si>
  <si>
    <t>37.59ZM70</t>
  </si>
  <si>
    <t>21.06l8</t>
  </si>
  <si>
    <t>8-2.84</t>
  </si>
  <si>
    <t>2.85-8-8ZM87</t>
  </si>
  <si>
    <t>80.49H10.67V87H87Z""</t>
  </si>
  <si>
    <t>drawrect:{width:80</t>
  </si>
  <si>
    <t>height:80</t>
  </si>
  <si>
    <t>path:""M78</t>
  </si>
  <si>
    <t>22V79H21V22H78m9-9H12V88H87V13ZM68</t>
  </si>
  <si>
    <t>46.22H31V54H68ZM53</t>
  </si>
  <si>
    <t>32H45.22V69H53Z""</t>
  </si>
  <si>
    <t>transform:""matrix(1 0 0 1 -10 -10)""}</t>
  </si>
  <si>
    <t>drawcircle:{width:80</t>
  </si>
  <si>
    <t>path:""M50</t>
  </si>
  <si>
    <t>84.72C26.84</t>
  </si>
  <si>
    <t>50.3S26.84</t>
  </si>
  <si>
    <t>84.72Zm0-60.59c-18.6</t>
  </si>
  <si>
    <t>0-33.74</t>
  </si>
  <si>
    <t>11.74-33.74</t>
  </si>
  <si>
    <t>26.17S31.4</t>
  </si>
  <si>
    <t>24.13Zm17.15</t>
  </si>
  <si>
    <t>22h-34v7.11h34Zm-13.8-13H46.24v34h7.11Z""</t>
  </si>
  <si>
    <t>eraseshape:{width:80</t>
  </si>
  <si>
    <t>path:""M82.77</t>
  </si>
  <si>
    <t>78H31.85L6</t>
  </si>
  <si>
    <t>21.14H82.77a8.72</t>
  </si>
  <si>
    <t>8.77V69.24A8.72</t>
  </si>
  <si>
    <t>78ZM35.46</t>
  </si>
  <si>
    <t>69.84H82.77a.57.57</t>
  </si>
  <si>
    <t>.49-.6V29.91a.57.57</t>
  </si>
  <si>
    <t>0-.49-.61H35.46L17</t>
  </si>
  <si>
    <t>49.57Zm32.68-34.7-24</t>
  </si>
  <si>
    <t>24-24Zm-19</t>
  </si>
  <si>
    <t>.53-5</t>
  </si>
  <si>
    <t>5-5Z""</t>
  </si>
  <si>
    <t>spikeline:{width:1e3</t>
  </si>
  <si>
    <t>path:""M512 409c0-57-46-104-103-104-57 0-104 47-104 104 0 57 47 103 104 103 57 0 103-46 103-103z m-327-39l92 0 0 92-92 0z m-185 0l92 0 0 92-92 0z m370-186l92 0 0 93-92 0z m0-184l92 0 0 92-92 0z""</t>
  </si>
  <si>
    <t>transform:""matrix(1.5 0 0 -1.5 0 850)""}</t>
  </si>
  <si>
    <t>pencil:{width:1792</t>
  </si>
  <si>
    <t>height:1792</t>
  </si>
  <si>
    <t>path:""M491 1536l91-91-235-235-91 91v107h128v128h107zm523-928q0-22-22-22-10 0-17 7l-542 542q-7 7-7 17 0 22 22 22 10 0 17-7l542-542q7-7 7-17zm-54-192l416 416-832 832h-416v-416zm683 96q0 53-37 90l-166 166-416-416 166-165q36-38 90-38 53 0 91 38l235 234q37 39 37 91z""</t>
  </si>
  <si>
    <t>transform:""matrix(1 0 0 1 0 1)""}</t>
  </si>
  <si>
    <t>newplotlylogo:{name:""newplotlylogo""</t>
  </si>
  <si>
    <t>svg:[""&lt;svg xmlns='http://www.w3.org/2000/svg' viewBox='0 0 132 132'&gt;""</t>
  </si>
  <si>
    <t>&lt;defs&gt;""</t>
  </si>
  <si>
    <t xml:space="preserve"> &lt;style&gt;""</t>
  </si>
  <si>
    <t xml:space="preserve">  .cls-0{fill:#000;}""</t>
  </si>
  <si>
    <t xml:space="preserve">  .cls-1{fill:#FFF;}""</t>
  </si>
  <si>
    <t xml:space="preserve">  .cls-2{fill:#F26;}""</t>
  </si>
  <si>
    <t xml:space="preserve">  .cls-3{fill:#D69;}""</t>
  </si>
  <si>
    <t xml:space="preserve">  .cls-4{fill:#BAC;}""</t>
  </si>
  <si>
    <t xml:space="preserve">  .cls-5{fill:#9EF;}""</t>
  </si>
  <si>
    <t xml:space="preserve"> &lt;/style&gt;""</t>
  </si>
  <si>
    <t>&lt;/defs&gt;""</t>
  </si>
  <si>
    <t xml:space="preserve"> &lt;title&gt;plotly-logomark&lt;/title&gt;""</t>
  </si>
  <si>
    <t xml:space="preserve"> &lt;g id='symbol'&gt;""</t>
  </si>
  <si>
    <t xml:space="preserve">  &lt;rect class='cls-0' x='0' y='0' width='132' height='132' rx='18' ry='18'/&gt;""</t>
  </si>
  <si>
    <t xml:space="preserve">  &lt;circle class='cls-5' cx='102' cy='30' r='6'/&gt;""</t>
  </si>
  <si>
    <t xml:space="preserve">  &lt;circle class='cls-4' cx='78' cy='30' r='6'/&gt;""</t>
  </si>
  <si>
    <t xml:space="preserve">  &lt;circle class='cls-4' cx='78' cy='54' r='6'/&gt;""</t>
  </si>
  <si>
    <t xml:space="preserve">  &lt;circle class='cls-3' cx='54' cy='30' r='6'/&gt;""</t>
  </si>
  <si>
    <t xml:space="preserve">  &lt;circle class='cls-2' cx='30' cy='30' r='6'/&gt;""</t>
  </si>
  <si>
    <t xml:space="preserve">  &lt;circle class='cls-2' cx='30' cy='54' r='6'/&gt;""</t>
  </si>
  <si>
    <t xml:space="preserve">  &lt;path class='cls-1' d='M30</t>
  </si>
  <si>
    <t>72a6</t>
  </si>
  <si>
    <t>0-6</t>
  </si>
  <si>
    <t>6v24a6</t>
  </si>
  <si>
    <t>0V78A6</t>
  </si>
  <si>
    <t>72Z'/&gt;""</t>
  </si>
  <si>
    <t xml:space="preserve">  &lt;path class='cls-1' d='M78</t>
  </si>
  <si>
    <t xml:space="preserve">  &lt;path class='cls-1' d='M54</t>
  </si>
  <si>
    <t>48a6</t>
  </si>
  <si>
    <t>6v48a6</t>
  </si>
  <si>
    <t>0V54A6</t>
  </si>
  <si>
    <t>48Z'/&gt;""</t>
  </si>
  <si>
    <t xml:space="preserve">  &lt;path class='cls-1' d='M102</t>
  </si>
  <si>
    <t xml:space="preserve"> &lt;/g&gt;""</t>
  </si>
  <si>
    <t>&lt;/svg&gt;""].join("""")}}}</t>
  </si>
  <si>
    <t>32546:function(t</t>
  </si>
  <si>
    <t>e){""use strict"";e.isLeftAnchor=function(t){return""left""===t.xanchor||""auto""===t.xanchor&amp;&amp;t.x&lt;=1/3}</t>
  </si>
  <si>
    <t>e.isCenterAnchor=function(t){return""center""===t.xanchor||""auto""===t.xanchor&amp;&amp;t.x&gt;1/3&amp;&amp;t.x&lt;2/3}</t>
  </si>
  <si>
    <t>e.isRightAnchor=function(t){return""right""===t.xanchor||""auto""===t.xanchor&amp;&amp;t.x&gt;=2/3}</t>
  </si>
  <si>
    <t>e.isTopAnchor=function(t){return""top""===t.yanchor||""auto""===t.yanchor&amp;&amp;t.y&gt;=2/3}</t>
  </si>
  <si>
    <t>e.isMiddleAnchor=function(t){return""middle""===t.yanchor||""auto""===t.yanchor&amp;&amp;t.y&gt;1/3&amp;&amp;t.y&lt;2/3}</t>
  </si>
  <si>
    <t>e.isBottomAnchor=function(t){return""bottom""===t.yanchor||""auto""===t.yanchor&amp;&amp;t.y&lt;=1/3}}</t>
  </si>
  <si>
    <t>44313:function(t</t>
  </si>
  <si>
    <t>r){""use strict"";var n=r(98953)</t>
  </si>
  <si>
    <t>i=n.mod</t>
  </si>
  <si>
    <t>a=n.modHalf</t>
  </si>
  <si>
    <t>o=Math.PI</t>
  </si>
  <si>
    <t>s=2*o;function l(t){return Math.abs(t[1]-t[0])&gt;s-1e-14}function c(t</t>
  </si>
  <si>
    <t>e){return a(e-t</t>
  </si>
  <si>
    <t>s)}function u(t</t>
  </si>
  <si>
    <t>e){if(l(e))return!0;var r</t>
  </si>
  <si>
    <t>n;e[0]&lt;e[1]?(r=e[0]</t>
  </si>
  <si>
    <t>n=e[1]):(r=e[1]</t>
  </si>
  <si>
    <t>n=e[0])</t>
  </si>
  <si>
    <t>(r=i(r</t>
  </si>
  <si>
    <t>s))&gt;(n=i(n</t>
  </si>
  <si>
    <t>s))&amp;&amp;(n+=s);var a=i(t</t>
  </si>
  <si>
    <t>o=a+s;return a&gt;=r&amp;&amp;a&lt;=n||o&gt;=r&amp;&amp;o&lt;=n}function h(t</t>
  </si>
  <si>
    <t>c){i=i||0</t>
  </si>
  <si>
    <t>a=a||0;var u</t>
  </si>
  <si>
    <t>m=l([r</t>
  </si>
  <si>
    <t>n]);function g(t</t>
  </si>
  <si>
    <t>e){return[t*Math.cos(e)+i</t>
  </si>
  <si>
    <t>a-t*Math.sin(e)]}m?(u=0</t>
  </si>
  <si>
    <t>h=o</t>
  </si>
  <si>
    <t>f=s):r&lt;n?(u=r</t>
  </si>
  <si>
    <t>f=n):(u=n</t>
  </si>
  <si>
    <t>f=r)</t>
  </si>
  <si>
    <t>t&lt;e?(p=t</t>
  </si>
  <si>
    <t>d=e):(p=e</t>
  </si>
  <si>
    <t>d=t);var y</t>
  </si>
  <si>
    <t>v=Math.abs(f-u)&lt;=o?0:1;function x(t</t>
  </si>
  <si>
    <t>r){return""A""+[t</t>
  </si>
  <si>
    <t>t]+"" ""+[0</t>
  </si>
  <si>
    <t>r]+"" ""+g(t</t>
  </si>
  <si>
    <t>e)}return m?y=null===p?""M""+g(d</t>
  </si>
  <si>
    <t>u)+x(d</t>
  </si>
  <si>
    <t>0)+x(d</t>
  </si>
  <si>
    <t>0)+""Z"":""M""+g(p</t>
  </si>
  <si>
    <t>u)+x(p</t>
  </si>
  <si>
    <t>0)+x(p</t>
  </si>
  <si>
    <t>0)+""ZM""+g(d</t>
  </si>
  <si>
    <t>1)+x(d</t>
  </si>
  <si>
    <t>1)+""Z"":null===p?(y=""M""+g(d</t>
  </si>
  <si>
    <t>c&amp;&amp;(y+=""L0</t>
  </si>
  <si>
    <t>0Z"")):y=""M""+g(p</t>
  </si>
  <si>
    <t>u)+""L""+g(d</t>
  </si>
  <si>
    <t>0)+""L""+g(p</t>
  </si>
  <si>
    <t>f)+x(p</t>
  </si>
  <si>
    <t>1)+""Z""</t>
  </si>
  <si>
    <t>y}t.exports={deg2rad:function(t){return t/180*o}</t>
  </si>
  <si>
    <t>rad2deg:function(t){return t/o*180}</t>
  </si>
  <si>
    <t>angleDelta:c</t>
  </si>
  <si>
    <t>angleDist:function(t</t>
  </si>
  <si>
    <t>e){return Math.abs(c(t</t>
  </si>
  <si>
    <t>isFullCircle:l</t>
  </si>
  <si>
    <t>isAngleInsideSector:u</t>
  </si>
  <si>
    <t>isPtInsideSector:function(t</t>
  </si>
  <si>
    <t>n){return!!u(e</t>
  </si>
  <si>
    <t>n)&amp;&amp;(r[0]&lt;r[1]?(i=r[0]</t>
  </si>
  <si>
    <t>a=r[1]):(i=r[1]</t>
  </si>
  <si>
    <t>a=r[0])</t>
  </si>
  <si>
    <t>t&gt;=i&amp;&amp;t&lt;=a);var i</t>
  </si>
  <si>
    <t>pathArc:function(t</t>
  </si>
  <si>
    <t>i){return h(null</t>
  </si>
  <si>
    <t>0)}</t>
  </si>
  <si>
    <t>pathSector:function(t</t>
  </si>
  <si>
    <t>1)}</t>
  </si>
  <si>
    <t>pathAnnulus:function(t</t>
  </si>
  <si>
    <t>a){return h(t</t>
  </si>
  <si>
    <t>1)}}}</t>
  </si>
  <si>
    <t>87800:function(t</t>
  </si>
  <si>
    <t>r){""use strict"";var n=r(93229).decode</t>
  </si>
  <si>
    <t>i=r(56174)</t>
  </si>
  <si>
    <t>a=Array.isArray</t>
  </si>
  <si>
    <t>o=ArrayBuffer</t>
  </si>
  <si>
    <t>s=DataView;function l(t){return o.isView(t)&amp;&amp;!(t instanceof s)}function c(t){return a(t)||l(t)}e.isTypedArray=l</t>
  </si>
  <si>
    <t>e.isArrayOrTypedArray=c</t>
  </si>
  <si>
    <t>e.isArray1D=function(t){return!c(t[0])}</t>
  </si>
  <si>
    <t>e.ensureArray=function(t</t>
  </si>
  <si>
    <t>e){return a(t)||(t=[])</t>
  </si>
  <si>
    <t>t.length=e</t>
  </si>
  <si>
    <t>t};var u={u1c:""undefined""==typeof Uint8ClampedArray?void 0:Uint8ClampedArray</t>
  </si>
  <si>
    <t>i1:""undefined""==typeof Int8Array?void 0:Int8Array</t>
  </si>
  <si>
    <t>u1:""undefined""==typeof Uint8Array?void 0:Uint8Array</t>
  </si>
  <si>
    <t>i2:""undefined""==typeof Int16Array?void 0:Int16Array</t>
  </si>
  <si>
    <t>u2:""undefined""==typeof Uint16Array?void 0:Uint16Array</t>
  </si>
  <si>
    <t>i4:""undefined""==typeof Int32Array?void 0:Int32Array</t>
  </si>
  <si>
    <t>u4:""undefined""==typeof Uint32Array?void 0:Uint32Array</t>
  </si>
  <si>
    <t>f4:""undefined""==typeof Float32Array?void 0:Float32Array</t>
  </si>
  <si>
    <t>f8:""undefined""==typeof Float64Array?void 0:Float64Array};function h(t){return t.constructor===ArrayBuffer}function f(t</t>
  </si>
  <si>
    <t>r){if(c(t)){if(c(t[0])){for(var n=r</t>
  </si>
  <si>
    <t>i=0;i&lt;t.length;i++)n=e(n</t>
  </si>
  <si>
    <t>t[i].length);return n}return t.length}return 0}u.uint8c=u.u1c</t>
  </si>
  <si>
    <t>u.uint8=u.u1</t>
  </si>
  <si>
    <t>u.int8=u.i1</t>
  </si>
  <si>
    <t>u.uint16=u.u2</t>
  </si>
  <si>
    <t>u.int16=u.i2</t>
  </si>
  <si>
    <t>u.uint32=u.u4</t>
  </si>
  <si>
    <t>u.int32=u.i4</t>
  </si>
  <si>
    <t>u.float32=u.f4</t>
  </si>
  <si>
    <t>u.float64=u.f8</t>
  </si>
  <si>
    <t>e.isArrayBuffer=h</t>
  </si>
  <si>
    <t>e.decodeTypedArraySpec=function(t){var e=[]</t>
  </si>
  <si>
    <t>r=function(t){return{bdata:t.bdata</t>
  </si>
  <si>
    <t>dtype:t.dtype</t>
  </si>
  <si>
    <t>shape:t.shape}}(t)</t>
  </si>
  <si>
    <t>i=r.dtype</t>
  </si>
  <si>
    <t>a=u[i];if(!a)throw new Error('Error in dtype: ""'+i+'""');var o=a.BYTES_PER_ELEMENT</t>
  </si>
  <si>
    <t>s=r.bdata;h(s)||(s=n(s));var l=void 0===r.shape?[s.byteLength/o]:(""""+r.shape).split(""</t>
  </si>
  <si>
    <t>);l.reverse();var c</t>
  </si>
  <si>
    <t>p=l.length</t>
  </si>
  <si>
    <t>d=+l[0]</t>
  </si>
  <si>
    <t>m=o*d</t>
  </si>
  <si>
    <t>g=0;if(1===p)e=new a(s);else if(2===p)for(c=+l[1]</t>
  </si>
  <si>
    <t>f=0;f&lt;c;f++)e[f]=new a(s</t>
  </si>
  <si>
    <t>g+=m;else{if(3!==p)throw new Error(""ndim: ""+p+'is not supported with the shape:""'+r.shape+'""');c=+l[1];for(var y=+l[2]</t>
  </si>
  <si>
    <t>v=0;v&lt;y;v++)for(e[v]=[]</t>
  </si>
  <si>
    <t>f=0;f&lt;c;f++)e[v][f]=new a(s</t>
  </si>
  <si>
    <t>g+=m}return e.bdata=r.bdata</t>
  </si>
  <si>
    <t>e.dtype=r.dtype</t>
  </si>
  <si>
    <t>e.shape=l.reverse().join(""</t>
  </si>
  <si>
    <t>)</t>
  </si>
  <si>
    <t>t._inputArray=e</t>
  </si>
  <si>
    <t>e.isTypedArraySpec=function(t){return i(t)&amp;&amp;t.hasOwnProperty(""dtype"")&amp;&amp;""string""==typeof t.dtype&amp;&amp;t.hasOwnProperty(""bdata"")&amp;&amp;(""string""==typeof t.bdata||h(t.bdata))&amp;&amp;(void 0===t.shape||t.hasOwnProperty(""shape"")&amp;&amp;(""string""==typeof t.shape||""number""==typeof t.shape))}</t>
  </si>
  <si>
    <t>e.concat=function(){var t</t>
  </si>
  <si>
    <t>u=!0</t>
  </si>
  <si>
    <t>h=0;for(r=0;r&lt;arguments.length;r++)(o=(n=arguments[r]).length)&amp;&amp;(e?c.push(n):(e=n</t>
  </si>
  <si>
    <t>i=o)</t>
  </si>
  <si>
    <t>a(n)?t=!1:(u=!1</t>
  </si>
  <si>
    <t>h?t!==n.constructor&amp;&amp;(t=!1):t=n.constructor)</t>
  </si>
  <si>
    <t>h+=o);if(!h)return[];if(!c.length)return e;if(u)return e.concat.apply(e</t>
  </si>
  <si>
    <t>c);if(t){for((s=new t(h)).set(e)</t>
  </si>
  <si>
    <t>r=0;r&lt;c.length;r++)n=c[r]</t>
  </si>
  <si>
    <t>s.set(n</t>
  </si>
  <si>
    <t>i+=n.length;return s}for(s=new Array(h)</t>
  </si>
  <si>
    <t>l=0;l&lt;e.length;l++)s[l]=e[l];for(r=0;r&lt;c.length;r++){for(n=c[r]</t>
  </si>
  <si>
    <t>l=0;l&lt;n.length;l++)s[i+l]=n[l];i+=l}return s}</t>
  </si>
  <si>
    <t>e.maxRowLength=function(t){return f(t</t>
  </si>
  <si>
    <t>Math.max</t>
  </si>
  <si>
    <t>e.minRowLength=function(t){return f(t</t>
  </si>
  <si>
    <t>Math.min</t>
  </si>
  <si>
    <t>1/0)}}</t>
  </si>
  <si>
    <t>44498:function(t</t>
  </si>
  <si>
    <t>i=r(63821).BADNUM</t>
  </si>
  <si>
    <t>a=/^['""%</t>
  </si>
  <si>
    <t>$#\s']+|[</t>
  </si>
  <si>
    <t xml:space="preserve"> ]|['""%</t>
  </si>
  <si>
    <t>$#\s']+$/g;t.exports=function(t){return""string""==typeof t&amp;&amp;(t=t.replace(a</t>
  </si>
  <si>
    <t>n(t)?Number(t):i}}</t>
  </si>
  <si>
    <t>34823:function(t){""use strict"";t.exports=function(t){var e=t._fullLayout;e._glcanvas&amp;&amp;e._glcanvas.size()&amp;&amp;e._glcanvas.each((function(t){t.regl&amp;&amp;t.regl.clear({color:!0</t>
  </si>
  <si>
    <t>depth:!0})}))}}</t>
  </si>
  <si>
    <t>23493:function(t){""use strict"";t.exports=function(t){t._responsiveChartHandler&amp;&amp;(window.removeEventListener(""resize""</t>
  </si>
  <si>
    <t>t._responsiveChartHandler)</t>
  </si>
  <si>
    <t>delete t._responsiveChartHandler)}}</t>
  </si>
  <si>
    <t>34220:function(t</t>
  </si>
  <si>
    <t>s=r(19017)</t>
  </si>
  <si>
    <t>c=r(20438).DESELECTDIM</t>
  </si>
  <si>
    <t>u=r(35632)</t>
  </si>
  <si>
    <t>h=r(90694).counter</t>
  </si>
  <si>
    <t>f=r(98953).modHalf</t>
  </si>
  <si>
    <t>p=r(87800).isArrayOrTypedArray</t>
  </si>
  <si>
    <t>d=r(87800).isTypedArraySpec</t>
  </si>
  <si>
    <t>m=r(87800).decodeTypedArraySpec;function g(t</t>
  </si>
  <si>
    <t>r){var n=e.valObjectMeta[r.valType];if(r.arrayOk&amp;&amp;p(t))return!0;if(n.validateFunction)return n.validateFunction(t</t>
  </si>
  <si>
    <t>r);var i={}</t>
  </si>
  <si>
    <t>o={set:function(t){a=t}};return n.coerceFunction(t</t>
  </si>
  <si>
    <t>a!==i}e.valObjectMeta={data_array:{coerceFunction:function(t</t>
  </si>
  <si>
    <t>r){e.set(p(t)?t:d(t)?m(t):r)}}</t>
  </si>
  <si>
    <t>enumerated:{coerceFunction:function(t</t>
  </si>
  <si>
    <t>n){n.coerceNumber&amp;&amp;(t=+t)</t>
  </si>
  <si>
    <t>-1===n.values.indexOf(t)?e.set(r):e.set(t)}</t>
  </si>
  <si>
    <t>validateFunction:function(t</t>
  </si>
  <si>
    <t>e){e.coerceNumber&amp;&amp;(t=+t);for(var r=e.values</t>
  </si>
  <si>
    <t>n=0;n&lt;r.length;n++){var i=String(r[n]);if(""/""===i.charAt(0)&amp;&amp;""/""===i.charAt(i.length-1)){if(new RegExp(i.substr(1</t>
  </si>
  <si>
    <t>i.length-2)).test(t))return!0}else if(t===r[n])return!0}return!1}}</t>
  </si>
  <si>
    <t>boolean:{coerceFunction:function(t</t>
  </si>
  <si>
    <t>r){!0===t||!1===t?e.set(t):e.set(r)}}</t>
  </si>
  <si>
    <t>number:{coerceFunction:function(t</t>
  </si>
  <si>
    <t>i){d(t)&amp;&amp;(t=m(t))</t>
  </si>
  <si>
    <t>!n(t)||void 0!==i.min&amp;&amp;t&lt;i.min||void 0!==i.max&amp;&amp;t&gt;i.max?e.set(r):e.set(+t)}}</t>
  </si>
  <si>
    <t>integer:{coerceFunction:function(t</t>
  </si>
  <si>
    <t>i){-1===(i.extras||[]).indexOf(t)?(d(t)&amp;&amp;(t=m(t))</t>
  </si>
  <si>
    <t>t%1||!n(t)||void 0!==i.min&amp;&amp;t&lt;i.min||void 0!==i.max&amp;&amp;t&gt;i.max?e.set(r):e.set(+t)):e.set(t)}}</t>
  </si>
  <si>
    <t>string:{coerceFunction:function(t</t>
  </si>
  <si>
    <t>n){if(""string""!=typeof t){var i=""number""==typeof t;!0!==n.strict&amp;&amp;i?e.set(String(t)):e.set(r)}else n.noBlank&amp;&amp;!t?e.set(r):e.set(t)}}</t>
  </si>
  <si>
    <t>color:{coerceFunction:function(t</t>
  </si>
  <si>
    <t>r){d(t)&amp;&amp;(t=m(t))</t>
  </si>
  <si>
    <t>i(t).isValid()?e.set(t):e.set(r)}}</t>
  </si>
  <si>
    <t>colorlist:{coerceFunction:function(t</t>
  </si>
  <si>
    <t>r){Array.isArray(t)&amp;&amp;t.length&amp;&amp;t.every((function(t){return i(t).isValid()}))?e.set(t):e.set(r)}}</t>
  </si>
  <si>
    <t>colorscale:{coerceFunction:function(t</t>
  </si>
  <si>
    <t>r){e.set(s.get(t</t>
  </si>
  <si>
    <t>r))}}</t>
  </si>
  <si>
    <t>angle:{coerceFunction:function(t</t>
  </si>
  <si>
    <t>auto""===t?e.set(""auto""):n(t)?e.set(f(+t</t>
  </si>
  <si>
    <t>360)):e.set(r)}}</t>
  </si>
  <si>
    <t>subplotid:{coerceFunction:function(t</t>
  </si>
  <si>
    <t>n){var i=n.regex||h(r);""string""==typeof t&amp;&amp;i.test(t)?e.set(t):e.set(r)}</t>
  </si>
  <si>
    <t>e){var r=e.dflt;return t===r||""string""==typeof t&amp;&amp;!!h(r).test(t)}}</t>
  </si>
  <si>
    <t>flaglist:{coerceFunction:function(t</t>
  </si>
  <si>
    <t>n){if(-1===(n.extras||[]).indexOf(t))if(""string""==typeof t){for(var i=t.split(""+"")</t>
  </si>
  <si>
    <t>a=0;a&lt;i.length;){var o=i[a];-1===n.flags.indexOf(o)||i.indexOf(o)&lt;a?i.splice(a</t>
  </si>
  <si>
    <t>1):a++}i.length?e.set(i.join(""+"")):e.set(r)}else e.set(r);else e.set(t)}}</t>
  </si>
  <si>
    <t>any:{coerceFunction:function(t</t>
  </si>
  <si>
    <t>r){void 0===t?e.set(r):e.set(d(t)?m(t):t)}}</t>
  </si>
  <si>
    <t>info_array:{coerceFunction:function(t</t>
  </si>
  <si>
    <t>i){function a(t</t>
  </si>
  <si>
    <t>a={set:function(t){i=t}};return void 0===n&amp;&amp;(n=r.dflt)</t>
  </si>
  <si>
    <t>e.valObjectMeta[r.valType].coerceFunction(t</t>
  </si>
  <si>
    <t>i}if(d(t)&amp;&amp;(t=m(t))</t>
  </si>
  <si>
    <t>p(t)){var o</t>
  </si>
  <si>
    <t>f=2===i.dimensions||""1-2""===i.dimensions&amp;&amp;Array.isArray(t)&amp;&amp;p(t[0])</t>
  </si>
  <si>
    <t>g=i.items</t>
  </si>
  <si>
    <t>y=[]</t>
  </si>
  <si>
    <t>v=Array.isArray(g)</t>
  </si>
  <si>
    <t>x=v&amp;&amp;f&amp;&amp;p(g[0])</t>
  </si>
  <si>
    <t>_=f&amp;&amp;v&amp;&amp;!x</t>
  </si>
  <si>
    <t>b=v&amp;&amp;!_?g.length:t.length;if(n=Array.isArray(n)?n:[]</t>
  </si>
  <si>
    <t>f)for(o=0;o&lt;b;o++)for(y[o]=[]</t>
  </si>
  <si>
    <t>l=p(t[o])?t[o]:[]</t>
  </si>
  <si>
    <t>u=_?g.length:v?g[o].length:l.length</t>
  </si>
  <si>
    <t>s=0;s&lt;u;s++)c=_?g[s]:v?g[o][s]:g</t>
  </si>
  <si>
    <t>void 0!==(h=a(l[s]</t>
  </si>
  <si>
    <t>(n[o]||[])[s]))&amp;&amp;(y[o][s]=h);else for(o=0;o&lt;b;o++)void 0!==(h=a(t[o]</t>
  </si>
  <si>
    <t>v?g[o]:g</t>
  </si>
  <si>
    <t>n[o]))&amp;&amp;(y[o]=h);r.set(y)}else r.set(n)}</t>
  </si>
  <si>
    <t>e){if(!p(t))return!1;var r=e.items</t>
  </si>
  <si>
    <t>n=Array.isArray(r)</t>
  </si>
  <si>
    <t>i=2===e.dimensions;if(!e.freeLength&amp;&amp;t.length!==r.length)return!1;for(var a=0;a&lt;t.length;a++)if(i){if(!p(t[a])||!e.freeLength&amp;&amp;t[a].length!==r[a].length)return!1;for(var o=0;o&lt;t[a].length;o++)if(!g(t[a][o]</t>
  </si>
  <si>
    <t>n?r[a][o]:r))return!1}else if(!g(t[a]</t>
  </si>
  <si>
    <t>n?r[a]:r))return!1;return!0}}}</t>
  </si>
  <si>
    <t>e.coerce=function(t</t>
  </si>
  <si>
    <t>a){var o=u(n</t>
  </si>
  <si>
    <t>i).get()</t>
  </si>
  <si>
    <t>s=u(t</t>
  </si>
  <si>
    <t>l=u(r</t>
  </si>
  <si>
    <t>c=s.get()</t>
  </si>
  <si>
    <t>h=r._template;if(void 0===c&amp;&amp;h&amp;&amp;(c=u(h</t>
  </si>
  <si>
    <t>h=0)</t>
  </si>
  <si>
    <t>void 0===a&amp;&amp;(a=o.dflt)</t>
  </si>
  <si>
    <t>o.arrayOk){if(p(c))return l.set(c)</t>
  </si>
  <si>
    <t>c;if(d(c))return c=m(c)</t>
  </si>
  <si>
    <t>l.set(c)</t>
  </si>
  <si>
    <t>c}var f=e.valObjectMeta[o.valType].coerceFunction;f(c</t>
  </si>
  <si>
    <t>o);var y=l.get();return h&amp;&amp;y===a&amp;&amp;!g(c</t>
  </si>
  <si>
    <t>o)&amp;&amp;(f(c=u(h</t>
  </si>
  <si>
    <t>y=l.get())</t>
  </si>
  <si>
    <t>y}</t>
  </si>
  <si>
    <t>e.coerce2=function(t</t>
  </si>
  <si>
    <t>a){var o=u(t</t>
  </si>
  <si>
    <t>s=e.coerce(t</t>
  </si>
  <si>
    <t>a);return null!=o.get()&amp;&amp;s}</t>
  </si>
  <si>
    <t>e.coerceFont=function(t</t>
  </si>
  <si>
    <t>n){n||(n={})</t>
  </si>
  <si>
    <t>r=a({}</t>
  </si>
  <si>
    <t>r);var i={family:t(e+"".family""</t>
  </si>
  <si>
    <t>(r=a(r</t>
  </si>
  <si>
    <t>n.overrideDflt||{})).family)</t>
  </si>
  <si>
    <t>size:t(e+"".size""</t>
  </si>
  <si>
    <t>r.size)</t>
  </si>
  <si>
    <t>color:t(e+"".color""</t>
  </si>
  <si>
    <t>weight:t(e+"".weight""</t>
  </si>
  <si>
    <t>r.weight)</t>
  </si>
  <si>
    <t>style:t(e+"".style""</t>
  </si>
  <si>
    <t>r.style)};if(n.noFontVariant||(i.variant=t(e+"".variant""</t>
  </si>
  <si>
    <t>r.variant))</t>
  </si>
  <si>
    <t>n.noFontLineposition||(i.lineposition=t(e+"".lineposition""</t>
  </si>
  <si>
    <t>r.lineposition))</t>
  </si>
  <si>
    <t>n.noFontTextcase||(i.textcase=t(e+"".textcase""</t>
  </si>
  <si>
    <t>r.textcase))</t>
  </si>
  <si>
    <t>!n.noFontShadow){var o=r.shadow;""none""===o&amp;&amp;n.autoShadowDflt&amp;&amp;(o=""auto"")</t>
  </si>
  <si>
    <t>i.shadow=t(e+"".shadow""</t>
  </si>
  <si>
    <t>o)}return i}</t>
  </si>
  <si>
    <t>e.coercePattern=function(t</t>
  </si>
  <si>
    <t>n){if(t(e+"".shape"")){t(e+"".solidity"")</t>
  </si>
  <si>
    <t>t(e+"".size"");var i=""overlay""===t(e+"".fillmode"");if(!n){var a=t(e+"".bgcolor""</t>
  </si>
  <si>
    <t>i?r:void 0);t(e+"".fgcolor""</t>
  </si>
  <si>
    <t>i?l.contrast(a):r)}t(e+"".fgopacity""</t>
  </si>
  <si>
    <t>i?.5:1)}}</t>
  </si>
  <si>
    <t>e.coerceHoverinfo=function(t</t>
  </si>
  <si>
    <t>a=r._module.attributes</t>
  </si>
  <si>
    <t>s=a.hoverinfo?a:o</t>
  </si>
  <si>
    <t>l=s.hoverinfo;if(1===n._dataLength){var c=""all""===l.dflt?l.flags.slice():l.dflt.split(""+"");c.splice(c.indexOf(""name"")</t>
  </si>
  <si>
    <t>i=c.join(""+"")}return e.coerce(t</t>
  </si>
  <si>
    <t>e.coerceSelectionMarkerOpacity=function(t</t>
  </si>
  <si>
    <t>e){if(t.marker){var r</t>
  </si>
  <si>
    <t>i=t.marker.opacity;void 0!==i&amp;&amp;(p(i)||t.selected||t.unselected||(r=i</t>
  </si>
  <si>
    <t>n=c*i)</t>
  </si>
  <si>
    <t>e(""selected.marker.opacity""</t>
  </si>
  <si>
    <t>e(""unselected.marker.opacity""</t>
  </si>
  <si>
    <t>n))}}</t>
  </si>
  <si>
    <t>e.validate=g}</t>
  </si>
  <si>
    <t>92596:function(t</t>
  </si>
  <si>
    <t>a=r(42696).DC</t>
  </si>
  <si>
    <t>s=r(48636)</t>
  </si>
  <si>
    <t>l=r(98953).mod</t>
  </si>
  <si>
    <t>c=r(63821)</t>
  </si>
  <si>
    <t>u=c.BADNUM</t>
  </si>
  <si>
    <t>h=c.ONEDAY</t>
  </si>
  <si>
    <t>f=c.ONEHOUR</t>
  </si>
  <si>
    <t>p=c.ONEMIN</t>
  </si>
  <si>
    <t>d=c.ONESEC</t>
  </si>
  <si>
    <t>m=c.EPOCHJD</t>
  </si>
  <si>
    <t>g=r(33626)</t>
  </si>
  <si>
    <t>y=r(42696).aL</t>
  </si>
  <si>
    <t>v=/^\s*(-?\d\d\d\d|\d\d)(-(\d?\d)(-(\d?\d)([ Tt]([01]?\d|2[0-3])(:([0-5]\d)(:([0-5]\d(\.\d+)?))?(Z|z|[+\-]\d\d(:?\d\d)?)?)?)?)?)?\s*$/m</t>
  </si>
  <si>
    <t>x=/^\s*(-?\d\d\d\d|\d\d)(-(\d?\di?)(-(\d?\d)([ Tt]([01]?\d|2[0-3])(:([0-5]\d)(:([0-5]\d(\.\d+)?))?(Z|z|[+\-]\d\d(:?\d\d)?)?)?)?)?)?\s*$/m</t>
  </si>
  <si>
    <t>_=(new Date).getFullYear()-70;function b(t){return t&amp;&amp;g.componentsRegistry.calendars&amp;&amp;""string""==typeof t&amp;&amp;""gregorian""!==t}function w(t</t>
  </si>
  <si>
    <t>e){return String(t+Math.pow(10</t>
  </si>
  <si>
    <t>e)).substr(1)}e.dateTick0=function(t</t>
  </si>
  <si>
    <t>r){var n=function(t</t>
  </si>
  <si>
    <t>e){return b(t)?e?g.getComponentMethod(""calendars""</t>
  </si>
  <si>
    <t>CANONICAL_SUNDAY"")[t]:g.getComponentMethod(""calendars""</t>
  </si>
  <si>
    <t>CANONICAL_TICK"")[t]:e?""2000-01-02"":""2000-01-01""}(t</t>
  </si>
  <si>
    <t>!!r);if(r&lt;2)return n;var i=e.dateTime2ms(n</t>
  </si>
  <si>
    <t>t);return i+=h*(r-1)</t>
  </si>
  <si>
    <t>e.ms2DateTime(i</t>
  </si>
  <si>
    <t>t)}</t>
  </si>
  <si>
    <t>e.dfltRange=function(t){return b(t)?g.getComponentMethod(""calendars""</t>
  </si>
  <si>
    <t>DFLTRANGE"")[t]:[""2000-01-01""</t>
  </si>
  <si>
    <t>2001-01-01""]}</t>
  </si>
  <si>
    <t>e.isJSDate=function(t){return""object""==typeof t&amp;&amp;null!==t&amp;&amp;""function""==typeof t.getTime}</t>
  </si>
  <si>
    <t>e.dateTime2ms=function(t</t>
  </si>
  <si>
    <t>r){if(e.isJSDate(t)){var a=t.getTimezoneOffset()*p</t>
  </si>
  <si>
    <t>o=(t.getUTCMinutes()-t.getMinutes())*p+(t.getUTCSeconds()-t.getSeconds())*d+(t.getUTCMilliseconds()-t.getMilliseconds());if(o){var s=3*p;a=a-s/2+l(o-a+s/2</t>
  </si>
  <si>
    <t>s)}return(t=Number(t)-a)&gt;=n&amp;&amp;t&lt;=i?t:u}if(""string""!=typeof t&amp;&amp;""number""!=typeof t)return u;t=String(t);var c=b(r)</t>
  </si>
  <si>
    <t>y=t.charAt(0);!c||""G""!==y&amp;&amp;""g""!==y||(t=t.substr(1)</t>
  </si>
  <si>
    <t>r="""");var w=c&amp;&amp;""chinese""===r.substr(0</t>
  </si>
  <si>
    <t>7)</t>
  </si>
  <si>
    <t>T=t.match(w?x:v);if(!T)return u;var k=T[1]</t>
  </si>
  <si>
    <t>A=T[3]||""1""</t>
  </si>
  <si>
    <t>M=Number(T[5]||1)</t>
  </si>
  <si>
    <t>S=Number(T[7]||0)</t>
  </si>
  <si>
    <t>E=Number(T[9]||0)</t>
  </si>
  <si>
    <t>C=Number(T[11]||0);if(c){if(2===k.length)return u;var L;k=Number(k);try{var I=g.getComponentMethod(""calendars""</t>
  </si>
  <si>
    <t>getCal"")(r);if(w){var P=""i""===A.charAt(A.length-1);A=parseInt(A</t>
  </si>
  <si>
    <t>L=I.newDate(k</t>
  </si>
  <si>
    <t>I.toMonthIndex(k</t>
  </si>
  <si>
    <t>M)}else L=I.newDate(k</t>
  </si>
  <si>
    <t>Number(A)</t>
  </si>
  <si>
    <t>M)}catch(t){return u}return L?(L.toJD()-m)*h+S*f+E*p+C*d:u}k=2===k.length?(Number(k)+2e3-_)%100+_:Number(k)</t>
  </si>
  <si>
    <t>A-=1;var z=new Date(Date.UTC(2e3</t>
  </si>
  <si>
    <t>E));return z.setUTCFullYear(k)</t>
  </si>
  <si>
    <t>z.getUTCMonth()!==A||z.getUTCDate()!==M?u:z.getTime()+C*d}</t>
  </si>
  <si>
    <t>n=e.MIN_MS=e.dateTime2ms(""-9999"")</t>
  </si>
  <si>
    <t>i=e.MAX_MS=e.dateTime2ms(""9999-12-31 23:59:59.9999"")</t>
  </si>
  <si>
    <t>e.isDateTime=function(t</t>
  </si>
  <si>
    <t>r){return e.dateTime2ms(t</t>
  </si>
  <si>
    <t>r)!==u};var T=90*h</t>
  </si>
  <si>
    <t>k=3*f</t>
  </si>
  <si>
    <t>A=5*p;function M(t</t>
  </si>
  <si>
    <t>i){if((e||r||n||i)&amp;&amp;(t+="" ""+w(e</t>
  </si>
  <si>
    <t>2)+"":""+w(r</t>
  </si>
  <si>
    <t>(n||i)&amp;&amp;(t+="":""+w(n</t>
  </si>
  <si>
    <t>i))){for(var a=4;i%10==0;)a-=1</t>
  </si>
  <si>
    <t>i/=10;t+="".""+w(i</t>
  </si>
  <si>
    <t>a)}return t}e.ms2DateTime=function(t</t>
  </si>
  <si>
    <t>r){if(""number""!=typeof t||!(t&gt;=n&amp;&amp;t&lt;=i))return u;e||(e=0);var a</t>
  </si>
  <si>
    <t>_=Math.floor(10*l(t+.05</t>
  </si>
  <si>
    <t>w=Math.round(t-_/10);if(b(r)){var S=Math.floor(w/h)+m</t>
  </si>
  <si>
    <t>E=Math.floor(l(t</t>
  </si>
  <si>
    <t>h));try{a=g.getComponentMethod(""calendars""</t>
  </si>
  <si>
    <t>getCal"")(r).fromJD(S).formatDate(""yyyy-mm-dd"")}catch(t){a=y(""G%Y-%m-%d"")(new Date(w))}if(""-""===a.charAt(0))for(;a.length&lt;11;)a=""-0""+a.substr(1);else for(;a.length&lt;10;)a=""0""+a;o=e&lt;T?Math.floor(E/f):0</t>
  </si>
  <si>
    <t>s=e&lt;T?Math.floor(E%f/p):0</t>
  </si>
  <si>
    <t>c=e&lt;k?Math.floor(E%p/d):0</t>
  </si>
  <si>
    <t>v=e&lt;A?E%d*10+_:0}else x=new Date(w)</t>
  </si>
  <si>
    <t>a=y(""%Y-%m-%d"")(x)</t>
  </si>
  <si>
    <t>o=e&lt;T?x.getUTCHours():0</t>
  </si>
  <si>
    <t>s=e&lt;T?x.getUTCMinutes():0</t>
  </si>
  <si>
    <t>c=e&lt;k?x.getUTCSeconds():0</t>
  </si>
  <si>
    <t>v=e&lt;A?10*x.getUTCMilliseconds()+_:0;return M(a</t>
  </si>
  <si>
    <t>v)}</t>
  </si>
  <si>
    <t>e.ms2DateTimeLocal=function(t){if(!(t&gt;=n+h&amp;&amp;t&lt;=i-h))return u;var e=Math.floor(10*l(t+.05</t>
  </si>
  <si>
    <t>r=new Date(Math.round(t-e/10));return M(a(""%Y-%m-%d"")(r)</t>
  </si>
  <si>
    <t>r.getHours()</t>
  </si>
  <si>
    <t>r.getMinutes()</t>
  </si>
  <si>
    <t>r.getSeconds()</t>
  </si>
  <si>
    <t>10*r.getUTCMilliseconds()+e)}</t>
  </si>
  <si>
    <t>e.cleanDate=function(t</t>
  </si>
  <si>
    <t>n){if(t===u)return r;if(e.isJSDate(t)||""number""==typeof t&amp;&amp;isFinite(t)){if(b(n))return s.error(""JS Dates and milliseconds are incompatible with world calendars""</t>
  </si>
  <si>
    <t>r;if(!(t=e.ms2DateTimeLocal(+t))&amp;&amp;void 0!==r)return r}else if(!e.isDateTime(t</t>
  </si>
  <si>
    <t>n))return s.error(""unrecognized date""</t>
  </si>
  <si>
    <t>r;return t};var S=/%\d?f/g</t>
  </si>
  <si>
    <t>E=/%h/g</t>
  </si>
  <si>
    <t>C={1:""1""</t>
  </si>
  <si>
    <t>2:""1""</t>
  </si>
  <si>
    <t>3:""2""</t>
  </si>
  <si>
    <t>4:""2""};function L(t</t>
  </si>
  <si>
    <t>n){t=t.replace(S</t>
  </si>
  <si>
    <t>(function(t){var r=Math.min(+t.charAt(1)||6</t>
  </si>
  <si>
    <t>6);return(e/1e3%1+2).toFixed(r).substr(2).replace(/0+$/</t>
  </si>
  <si>
    <t>")||""0""}));var i=new Date(Math.floor(e+.05));if(t=t.replace(E</t>
  </si>
  <si>
    <t>(function(){return C[r(""%q"")(i)]}))</t>
  </si>
  <si>
    <t>b(n))try{t=g.getComponentMethod(""calendars""</t>
  </si>
  <si>
    <t>worldCalFmt"")(t</t>
  </si>
  <si>
    <t>n)}catch(t){return""Invalid""}return r(t)(i)}var I=[59</t>
  </si>
  <si>
    <t>59.9999];e.formatDate=function(t</t>
  </si>
  <si>
    <t>a){if(i=b(i)&amp;&amp;i</t>
  </si>
  <si>
    <t>!e)if(""y""===r)e=a.year;else if(""m""===r)e=a.month;else{if(""d""!==r)return function(t</t>
  </si>
  <si>
    <t>e){var r=l(t+.05</t>
  </si>
  <si>
    <t>n=w(Math.floor(r/f)</t>
  </si>
  <si>
    <t>2)+"":""+w(l(Math.floor(r/p)</t>
  </si>
  <si>
    <t>60)</t>
  </si>
  <si>
    <t>2);if(""M""!==e){o(e)||(e=0);var i=(100+Math.min(l(t/d</t>
  </si>
  <si>
    <t>I[e])).toFixed(e).substr(1);e&gt;0&amp;&amp;(i=i.replace(/0+$/</t>
  </si>
  <si>
    <t>").replace(/[\.]$/</t>
  </si>
  <si>
    <t>n+="":""+i}return n}(t</t>
  </si>
  <si>
    <t>r)+""\n""+L(a.dayMonthYear</t>
  </si>
  <si>
    <t>i);e=a.dayMonth+""\n""+a.year}return L(e</t>
  </si>
  <si>
    <t>i)};var P=3*h;e.incrementMonth=function(t</t>
  </si>
  <si>
    <t>r){r=b(r)&amp;&amp;r;var n=l(t</t>
  </si>
  <si>
    <t>h);if(t=Math.round(t-n)</t>
  </si>
  <si>
    <t>r)try{var i=Math.round(t/h)+m</t>
  </si>
  <si>
    <t>a=g.getComponentMethod(""calendars""</t>
  </si>
  <si>
    <t>getCal"")(r)</t>
  </si>
  <si>
    <t>o=a.fromJD(i);return e%12?a.add(o</t>
  </si>
  <si>
    <t>m""):a.add(o</t>
  </si>
  <si>
    <t>e/12</t>
  </si>
  <si>
    <t>(o.toJD()-m)*h+n}catch(e){s.error(""invalid ms ""+t+"" in calendar ""+r)}var c=new Date(t+P);return c.setUTCMonth(c.getUTCMonth()+e)+n-P}</t>
  </si>
  <si>
    <t>e.findExactDates=function(t</t>
  </si>
  <si>
    <t>a=0</t>
  </si>
  <si>
    <t>s=0</t>
  </si>
  <si>
    <t>c=b(e)&amp;&amp;g.getComponentMethod(""calendars""</t>
  </si>
  <si>
    <t>getCal"")(e)</t>
  </si>
  <si>
    <t>u=0;u&lt;t.length;u++)if(n=t[u]</t>
  </si>
  <si>
    <t>o(n)){if(!(n%h))if(c)try{1===(r=c.fromJD(n/h+m)).day()?1===r.month()?i++:a++:s++}catch(t){}else 1===(r=new Date(n)).getUTCDate()?0===r.getUTCMonth()?i++:a++:s++}else l++;s+=a+=i;var f=t.length-l;return{exactYears:i/f</t>
  </si>
  <si>
    <t>exactMonths:a/f</t>
  </si>
  <si>
    <t>exactDays:s/f}}}</t>
  </si>
  <si>
    <t>95425:function(t</t>
  </si>
  <si>
    <t>i=r(48636)</t>
  </si>
  <si>
    <t>a=r(15236)</t>
  </si>
  <si>
    <t>o=r(11191);function s(t){var e=t&amp;&amp;t.parentNode;e&amp;&amp;e.removeChild(t)}function l(t</t>
  </si>
  <si>
    <t>r){var n=""plotly.js-style-""+t</t>
  </si>
  <si>
    <t>a=document.getElementById(n);a||((a=document.createElement(""style"")).setAttribute(""id""</t>
  </si>
  <si>
    <t>a.appendChild(document.createTextNode(""""))</t>
  </si>
  <si>
    <t>document.head.appendChild(a));var o=a.sheet;o.insertRule?o.insertRule(e+""{""+r+""}""</t>
  </si>
  <si>
    <t>0):o.addRule?o.addRule(e</t>
  </si>
  <si>
    <t>0):i.warn(""addStyleRule failed"")}function c(t){var e=window.getComputedStyle(t</t>
  </si>
  <si>
    <t>r=e.getPropertyValue(""-webkit-transform"")||e.getPropertyValue(""-moz-transform"")||e.getPropertyValue(""-ms-transform"")||e.getPropertyValue(""-o-transform"")||e.getPropertyValue(""transform"");return""none""===r?null:r.replace(""matrix""</t>
  </si>
  <si>
    <t>").replace(""3d""</t>
  </si>
  <si>
    <t>").slice(1</t>
  </si>
  <si>
    <t>-1).split(""</t>
  </si>
  <si>
    <t>).map((function(t){return+t}))}function u(t){for(var e=[];h(t);)e.push(t)</t>
  </si>
  <si>
    <t>t=t.parentNode</t>
  </si>
  <si>
    <t>function""==typeof ShadowRoot&amp;&amp;t instanceof ShadowRoot&amp;&amp;(t=t.host);return e}function h(t){return t&amp;&amp;(t instanceof Element||t instanceof HTMLElement)}t.exports={getGraphDiv:function(t){var e;if(""string""==typeof t){if(null===(e=document.getElementById(t)))throw new Error(""No DOM element with id '""+t+""' exists on the page."");return e}if(null==t)throw new Error(""DOM element provided is null or undefined"");return t}</t>
  </si>
  <si>
    <t>isPlotDiv:function(t){var e=n.select(t);return e.node()instanceof HTMLElement&amp;&amp;e.size()&amp;&amp;e.classed(""js-plotly-plot"")}</t>
  </si>
  <si>
    <t>removeElement:s</t>
  </si>
  <si>
    <t>addStyleRule:function(t</t>
  </si>
  <si>
    <t>e){l(""global""</t>
  </si>
  <si>
    <t>addRelatedStyleRule:l</t>
  </si>
  <si>
    <t>deleteRelatedStyleRule:function(t){var e=""plotly.js-style-""+t</t>
  </si>
  <si>
    <t>r=document.getElementById(e);r&amp;&amp;s(r)}</t>
  </si>
  <si>
    <t>getFullTransformMatrix:function(t){var e=u(t)</t>
  </si>
  <si>
    <t>r=[1</t>
  </si>
  <si>
    <t>1];return e.forEach((function(t){var e=c(t);if(e){var n=a.convertCssMatrix(e);r=o.multiply(r</t>
  </si>
  <si>
    <t>n)}}))</t>
  </si>
  <si>
    <t>getElementTransformMatrix:c</t>
  </si>
  <si>
    <t>getElementAndAncestors:u</t>
  </si>
  <si>
    <t>equalDomRects:function(t</t>
  </si>
  <si>
    <t>e){return t&amp;&amp;e&amp;&amp;t.top===e.top&amp;&amp;t.left===e.left&amp;&amp;t.right===e.right&amp;&amp;t.bottom===e.bottom}}}</t>
  </si>
  <si>
    <t>68596:function(t</t>
  </si>
  <si>
    <t>r){""use strict"";var n=r(7683).EventEmitter</t>
  </si>
  <si>
    <t>i={init:function(t){if(t._ev instanceof n)return t;var e=new n</t>
  </si>
  <si>
    <t>r=new n;return t._ev=e</t>
  </si>
  <si>
    <t>t._internalEv=r</t>
  </si>
  <si>
    <t>t.on=e.on.bind(e)</t>
  </si>
  <si>
    <t>t.once=e.once.bind(e)</t>
  </si>
  <si>
    <t>t.removeListener=e.removeListener.bind(e)</t>
  </si>
  <si>
    <t>t.removeAllListeners=e.removeAllListeners.bind(e)</t>
  </si>
  <si>
    <t>t._internalOn=r.on.bind(r)</t>
  </si>
  <si>
    <t>t._internalOnce=r.once.bind(r)</t>
  </si>
  <si>
    <t>t._removeInternalListener=r.removeListener.bind(r)</t>
  </si>
  <si>
    <t>t._removeAllInternalListeners=r.removeAllListeners.bind(r)</t>
  </si>
  <si>
    <t>t.emit=function(n</t>
  </si>
  <si>
    <t>i){""undefined""!=typeof jQuery&amp;&amp;jQuery(t).trigger(n</t>
  </si>
  <si>
    <t>e.emit(n</t>
  </si>
  <si>
    <t>r.emit(n</t>
  </si>
  <si>
    <t>triggerHandler:function(t</t>
  </si>
  <si>
    <t>i;""undefined""!=typeof jQuery&amp;&amp;(n=jQuery(t).triggerHandler(e</t>
  </si>
  <si>
    <t>r));var a=t._ev;if(!a)return n;var o</t>
  </si>
  <si>
    <t>s=a._events[e];if(!s)return n;function l(t){return t.listener?(a.removeListener(e</t>
  </si>
  <si>
    <t>t.listener)</t>
  </si>
  <si>
    <t>t.fired?void 0:(t.fired=!0</t>
  </si>
  <si>
    <t>t.listener.apply(a</t>
  </si>
  <si>
    <t>[r]))):t.apply(a</t>
  </si>
  <si>
    <t>[r])}for(s=Array.isArray(s)?s:[s]</t>
  </si>
  <si>
    <t>o=0;o&lt;s.length-1;o++)l(s[o]);return i=l(s[o])</t>
  </si>
  <si>
    <t>void 0!==n?n:i}</t>
  </si>
  <si>
    <t>purge:function(t){return delete t._ev</t>
  </si>
  <si>
    <t>delete t.on</t>
  </si>
  <si>
    <t>delete t.once</t>
  </si>
  <si>
    <t>delete t.removeListener</t>
  </si>
  <si>
    <t>delete t.removeAllListeners</t>
  </si>
  <si>
    <t>delete t.emit</t>
  </si>
  <si>
    <t>delete t._ev</t>
  </si>
  <si>
    <t>delete t._internalEv</t>
  </si>
  <si>
    <t>delete t._internalOn</t>
  </si>
  <si>
    <t>delete t._internalOnce</t>
  </si>
  <si>
    <t>delete t._removeInternalListener</t>
  </si>
  <si>
    <t>delete t._removeAllInternalListeners</t>
  </si>
  <si>
    <t>t}};t.exports=i}</t>
  </si>
  <si>
    <t>93049:function(t</t>
  </si>
  <si>
    <t>r){""use strict"";var n=r(56174)</t>
  </si>
  <si>
    <t>i=Array.isArray;function a(t</t>
  </si>
  <si>
    <t>d=t[0]</t>
  </si>
  <si>
    <t>m=t.length;if(2===m&amp;&amp;i(d)&amp;&amp;i(t[1])&amp;&amp;0===d.length){if(p=function(t</t>
  </si>
  <si>
    <t>n;for(r=0;r&lt;t.length;r++){if(null!==(n=t[r])&amp;&amp;""object""==typeof n)return!1;void 0!==n&amp;&amp;(e[r]=n)}return!0}(t[1]</t>
  </si>
  <si>
    <t>p)return d;d.splice(0</t>
  </si>
  <si>
    <t>d.length)}for(var g=1;g&lt;m;g++)for(l in s=t[g])c=d[l]</t>
  </si>
  <si>
    <t>u=s[l]</t>
  </si>
  <si>
    <t>o&amp;&amp;i(u)?d[l]=u:e&amp;&amp;u&amp;&amp;(n(u)||(h=i(u)))?(h?(h=!1</t>
  </si>
  <si>
    <t>f=c&amp;&amp;i(c)?c:[]):f=c&amp;&amp;n(c)?c:{}</t>
  </si>
  <si>
    <t>d[l]=a([f</t>
  </si>
  <si>
    <t>u]</t>
  </si>
  <si>
    <t>o)):(void 0!==u||r)&amp;&amp;(d[l]=u);return d}e.extendFlat=function(){return a(arguments</t>
  </si>
  <si>
    <t>e.extendDeep=function(){return a(arguments</t>
  </si>
  <si>
    <t>e.extendDeepAll=function(){return a(arguments</t>
  </si>
  <si>
    <t>e.extendDeepNoArrays=function(){return a(arguments</t>
  </si>
  <si>
    <t>!0)}}</t>
  </si>
  <si>
    <t>48965:function(t){""use strict"";t.exports=function(t){for(var e={}</t>
  </si>
  <si>
    <t>n=0</t>
  </si>
  <si>
    <t>i=0;i&lt;t.length;i++){var a=t[i];1!==e[a]&amp;&amp;(e[a]=1</t>
  </si>
  <si>
    <t>r[n++]=a)}return r}}</t>
  </si>
  <si>
    <t>78926:function(t){""use strict"";function e(t){return!0===t.visible}function r(t){var e=t[0].trace;return!0===e.visible&amp;&amp;0!==e._length}t.exports=function(t){for(var n</t>
  </si>
  <si>
    <t>i=(n=t</t>
  </si>
  <si>
    <t>Array.isArray(n)&amp;&amp;Array.isArray(n[0])&amp;&amp;n[0][0]&amp;&amp;n[0][0].trace?r:e)</t>
  </si>
  <si>
    <t>o=0;o&lt;t.length;o++){var s=t[o];i(s)&amp;&amp;a.push(s)}return a}}</t>
  </si>
  <si>
    <t>3994:function(t</t>
  </si>
  <si>
    <t>i=r(78171)</t>
  </si>
  <si>
    <t>{area:a}=r(61990)</t>
  </si>
  <si>
    <t>{centroid:o}=r(30035)</t>
  </si>
  <si>
    <t>{bbox:s}=r(25368)</t>
  </si>
  <si>
    <t>l=r(29527)</t>
  </si>
  <si>
    <t>c=r(48636)</t>
  </si>
  <si>
    <t>u=r(56174)</t>
  </si>
  <si>
    <t>h=r(35632)</t>
  </si>
  <si>
    <t>f=r(80899)</t>
  </si>
  <si>
    <t>p=Object.keys(i)</t>
  </si>
  <si>
    <t>d={""ISO-3"":l</t>
  </si>
  <si>
    <t>USA-states"":l</t>
  </si>
  <si>
    <t>country names"":function(t){for(var e=0;e&lt;p.length;e++){var r=p[e];if(new RegExp(i[r]).test(t.trim().toLowerCase()))return r}return c.log(""Unrecognized country name: ""+t+""."")</t>
  </si>
  <si>
    <t>!1}};function m(t){var e=t.geojson</t>
  </si>
  <si>
    <t>r=window.PlotlyGeoAssets||{}</t>
  </si>
  <si>
    <t>n=""string""==typeof e?r[e]:e;return u(n)?n:(c.error(""Oops ... something went wrong when fetching ""+e)</t>
  </si>
  <si>
    <t>!1)}t.exports={locationToFeature:function(t</t>
  </si>
  <si>
    <t>r){if(!e||""string""!=typeof e)return!1;var n</t>
  </si>
  <si>
    <t>o=d[t](e);if(o){if(""USA-states""===t)for(n=[]</t>
  </si>
  <si>
    <t>a=0;a&lt;r.length;a++)(i=r[a]).properties&amp;&amp;i.properties.gu&amp;&amp;""USA""===i.properties.gu&amp;&amp;n.push(i);else n=r;for(a=0;a&lt;n.length;a++)if((i=n[a]).id===o)return i;c.log([""Location with id""</t>
  </si>
  <si>
    <t>does not have a matching topojson feature at this resolution.""].join("" ""))}return!1}</t>
  </si>
  <si>
    <t>feature2polygons:function(t){var e</t>
  </si>
  <si>
    <t>a=t.geometry</t>
  </si>
  <si>
    <t>o=a.coordinates</t>
  </si>
  <si>
    <t>s=t.id</t>
  </si>
  <si>
    <t>l=[];function c(t){for(var e=0;e&lt;t.length-1;e++)if(t[e][0]&gt;0&amp;&amp;t[e+1][0]&lt;0)return e;return null}switch(e=""RUS""===s||""FJI""===s?function(t){var e;if(null===c(t))e=t;else for(e=new Array(t.length)</t>
  </si>
  <si>
    <t>i=0;i&lt;t.length;i++)e[i]=[t[i][0]&lt;0?t[i][0]+360:t[i][0]</t>
  </si>
  <si>
    <t>t[i][1]];l.push(f.tester(e))}:""ATA""===s?function(t){var e=c(t);if(null===e)return l.push(f.tester(t));var r=new Array(t.length+1)</t>
  </si>
  <si>
    <t>n=0;for(i=0;i&lt;t.length;i++)i&gt;e?r[n++]=[t[i][0]+360</t>
  </si>
  <si>
    <t>t[i][1]]:i===e?(r[n++]=t[i]</t>
  </si>
  <si>
    <t>r[n++]=[t[i][0]</t>
  </si>
  <si>
    <t>-90]):r[n++]=t[i];var a=f.tester(r);a.pts.pop()</t>
  </si>
  <si>
    <t>l.push(a)}:function(t){l.push(f.tester(t))}</t>
  </si>
  <si>
    <t>a.type){case""MultiPolygon"":for(r=0;r&lt;o.length;r++)for(n=0;n&lt;o[r].length;n++)e(o[r][n]);break;case""Polygon"":for(r=0;r&lt;o.length;r++)e(o[r])}return l}</t>
  </si>
  <si>
    <t>getTraceGeojson:m</t>
  </si>
  <si>
    <t>extractTraceFeature:function(t){var e=t[0].trace</t>
  </si>
  <si>
    <t>r=m(e);if(!r)return!1;var n</t>
  </si>
  <si>
    <t>i={}</t>
  </si>
  <si>
    <t>s=[];for(n=0;n&lt;e._length;n++){var l=t[n];(l.loc||0===l.loc)&amp;&amp;(i[l.loc]=l)}function u(t){var r=h(t</t>
  </si>
  <si>
    <t>e.featureidkey||""id"").get()</t>
  </si>
  <si>
    <t>n=i[r];if(n){var l=t.geometry;if(""Polygon""===l.type||""MultiPolygon""===l.type){var u={type:""Feature""</t>
  </si>
  <si>
    <t>id:r</t>
  </si>
  <si>
    <t>geometry:l</t>
  </si>
  <si>
    <t>properties:{}};u.geometry.coordinates.length&gt;0?u.properties.ct=function(t){var e</t>
  </si>
  <si>
    <t>r=t.geometry;if(""MultiPolygon""===r.type)for(var n=r.coordinates</t>
  </si>
  <si>
    <t>s=0;s&lt;n.length;s++){var l={type:""Polygon""</t>
  </si>
  <si>
    <t>coordinates:n[s]}</t>
  </si>
  <si>
    <t>c=a(l);c&gt;i&amp;&amp;(i=c</t>
  </si>
  <si>
    <t>e=l)}else e=r;return o(e).geometry.coordinates}(u):u.properties.ct=[NaN</t>
  </si>
  <si>
    <t>NaN]</t>
  </si>
  <si>
    <t>n.fIn=t</t>
  </si>
  <si>
    <t>n.fOut=u</t>
  </si>
  <si>
    <t>s.push(u)}else c.log([""Location""</t>
  </si>
  <si>
    <t>n.loc</t>
  </si>
  <si>
    <t>does not have a valid GeoJSON geometry.""</t>
  </si>
  <si>
    <t>Traces with locationmode *geojson-id* only support""</t>
  </si>
  <si>
    <t>*Polygon* and *MultiPolygon* geometries.""].join("" ""))}delete i[r]}switch(r.type){case""FeatureCollection"":var f=r.features;for(n=0;n&lt;f.length;n++)u(f[n]);break;case""Feature"":u(r);break;default:return c.warn([""Invalid GeoJSON type""</t>
  </si>
  <si>
    <t>(r.type||""none"")+"".""</t>
  </si>
  <si>
    <t>*FeatureCollection* and *Feature* types.""].join("" ""))</t>
  </si>
  <si>
    <t>!1}for(var p in i)c.log([""Location *""+p+""*""</t>
  </si>
  <si>
    <t>does not have a matching feature with id-key""</t>
  </si>
  <si>
    <t>*""+e.featureidkey+""*.""].join("" ""));return s}</t>
  </si>
  <si>
    <t>fetchTraceGeoData:function(t){var e=window.PlotlyGeoAssets||{}</t>
  </si>
  <si>
    <t>r=[];function i(t){return new Promise((function(r</t>
  </si>
  <si>
    <t>i){n.json(t</t>
  </si>
  <si>
    <t>(function(n</t>
  </si>
  <si>
    <t>a){if(n){delete e[t];var o=404===n.status?'GeoJSON at URL ""'+t+'"" does not exist.':""Unexpected error while fetching from ""+t;return i(new Error(o))}return e[t]=a</t>
  </si>
  <si>
    <t>r(a)}))}))}function a(t){return new Promise((function(r</t>
  </si>
  <si>
    <t>n){var i=0</t>
  </si>
  <si>
    <t>a=setInterval((function(){return e[t]&amp;&amp;""pending""!==e[t]?(clearInterval(a)</t>
  </si>
  <si>
    <t>r(e[t])):i&gt;100?(clearInterval(a)</t>
  </si>
  <si>
    <t>n(""Unexpected error while fetching from ""+t)):void i++})</t>
  </si>
  <si>
    <t>50)}))}for(var o=0;o&lt;t.length;o++){var s=t[o][0].trace.geojson;""string""==typeof s&amp;&amp;(e[s]?""pending""===e[s]&amp;&amp;r.push(a(s)):(e[s]=""pending""</t>
  </si>
  <si>
    <t>r.push(i(s))))}return r}</t>
  </si>
  <si>
    <t>computeBbox:function(t){return s(t)}}}</t>
  </si>
  <si>
    <t>39532:function(t</t>
  </si>
  <si>
    <t>r){""use strict"";var n=r(63821).BADNUM;e.calcTraceToLineCoords=function(t){for(var e=t[0].trace.connectgaps</t>
  </si>
  <si>
    <t>a=0;a&lt;t.length;a++){var o=t[a].lonlat;o[0]!==n?i.push(o):!e&amp;&amp;i.length&gt;0&amp;&amp;(r.push(i)</t>
  </si>
  <si>
    <t>i=[])}return i.length&gt;0&amp;&amp;r.push(i)</t>
  </si>
  <si>
    <t>e.makeLine=function(t){return 1===t.length?{type:""LineString""</t>
  </si>
  <si>
    <t>coordinates:t[0]}:{type:""MultiLineString""</t>
  </si>
  <si>
    <t>coordinates:t}}</t>
  </si>
  <si>
    <t>e.makePolygon=function(t){if(1===t.length)return{type:""Polygon""</t>
  </si>
  <si>
    <t>coordinates:t};for(var e=new Array(t.length)</t>
  </si>
  <si>
    <t>r=0;r&lt;t.length;r++)e[r]=[t[r]];return{type:""MultiPolygon""</t>
  </si>
  <si>
    <t>coordinates:e}}</t>
  </si>
  <si>
    <t>e.makeBlank=function(){return{type:""Point""</t>
  </si>
  <si>
    <t>coordinates:[]}}}</t>
  </si>
  <si>
    <t>3447:function(t</t>
  </si>
  <si>
    <t>o=r(98953).mod;function s(t</t>
  </si>
  <si>
    <t>s){var l=r-t</t>
  </si>
  <si>
    <t>c=i-t</t>
  </si>
  <si>
    <t>u=o-i</t>
  </si>
  <si>
    <t>h=n-e</t>
  </si>
  <si>
    <t>f=a-e</t>
  </si>
  <si>
    <t>p=s-a</t>
  </si>
  <si>
    <t>d=l*p-u*h;if(0===d)return null;var m=(c*p-u*f)/d</t>
  </si>
  <si>
    <t>g=(c*h-l*f)/d;return g&lt;0||g&gt;1||m&lt;0||m&gt;1?null:{x:t+l*m</t>
  </si>
  <si>
    <t>y:e+h*m}}function l(t</t>
  </si>
  <si>
    <t>i){var a=n*t+i*e;if(a&lt;0)return n*n+i*i;if(a&gt;r){var o=n-t</t>
  </si>
  <si>
    <t>s=i-e;return o*o+s*s}var l=n*e-i*t;return l*l/r}e.segmentsIntersect=s</t>
  </si>
  <si>
    <t>e.segmentDistance=function(t</t>
  </si>
  <si>
    <t>c){if(s(t</t>
  </si>
  <si>
    <t>c))return 0;var u=r-t</t>
  </si>
  <si>
    <t>f=o-i</t>
  </si>
  <si>
    <t>p=c-a</t>
  </si>
  <si>
    <t>d=u*u+h*h</t>
  </si>
  <si>
    <t>m=f*f+p*p</t>
  </si>
  <si>
    <t>g=Math.min(l(u</t>
  </si>
  <si>
    <t>i-t</t>
  </si>
  <si>
    <t>a-e)</t>
  </si>
  <si>
    <t>l(u</t>
  </si>
  <si>
    <t>o-t</t>
  </si>
  <si>
    <t>c-e)</t>
  </si>
  <si>
    <t>l(f</t>
  </si>
  <si>
    <t>t-i</t>
  </si>
  <si>
    <t>e-a)</t>
  </si>
  <si>
    <t>r-i</t>
  </si>
  <si>
    <t>n-a));return Math.sqrt(g)}</t>
  </si>
  <si>
    <t>e.getTextLocation=function(t</t>
  </si>
  <si>
    <t>s){if(t===i&amp;&amp;s===a||(n={}</t>
  </si>
  <si>
    <t>i=t</t>
  </si>
  <si>
    <t>a=s)</t>
  </si>
  <si>
    <t>n[r])return n[r];var l=t.getPointAtLength(o(r-s/2</t>
  </si>
  <si>
    <t>c=t.getPointAtLength(o(r+s/2</t>
  </si>
  <si>
    <t>u=Math.atan((c.y-l.y)/(c.x-l.x))</t>
  </si>
  <si>
    <t>h=t.getPointAtLength(o(r</t>
  </si>
  <si>
    <t>f={x:(4*h.x+l.x+c.x)/6</t>
  </si>
  <si>
    <t>y:(4*h.y+l.y+c.y)/6</t>
  </si>
  <si>
    <t>theta:u};return n[r]=f</t>
  </si>
  <si>
    <t>f}</t>
  </si>
  <si>
    <t>e.clearLocationCache=function(){i=null}</t>
  </si>
  <si>
    <t>e.getVisibleSegment=function(t</t>
  </si>
  <si>
    <t>a=e.left</t>
  </si>
  <si>
    <t>o=e.right</t>
  </si>
  <si>
    <t>s=e.top</t>
  </si>
  <si>
    <t>l=e.bottom</t>
  </si>
  <si>
    <t>u=t.getTotalLength()</t>
  </si>
  <si>
    <t>h=u;function f(e){var r=t.getPointAtLength(e);0===e?n=r:e===u&amp;&amp;(i=r);var c=r.x&lt;a?a-r.x:r.x&gt;o?r.x-o:0</t>
  </si>
  <si>
    <t>h=r.y&lt;s?s-r.y:r.y&gt;l?r.y-l:0;return Math.sqrt(c*c+h*h)}for(var p=f(c);p;){if((c+=p+r)&gt;h)return;p=f(c)}for(p=f(h);p;){if(c&gt;(h-=p+r))return;p=f(h)}return{min:c</t>
  </si>
  <si>
    <t>max:h</t>
  </si>
  <si>
    <t>len:h-c</t>
  </si>
  <si>
    <t>total:u</t>
  </si>
  <si>
    <t>isClosed:0===c&amp;&amp;h===u&amp;&amp;Math.abs(n.x-i.x)&lt;.1&amp;&amp;Math.abs(n.y-i.y)&lt;.1}}</t>
  </si>
  <si>
    <t>e.findPointOnPath=function(t</t>
  </si>
  <si>
    <t>s=(n=n||{}).pathLength||t.getTotalLength()</t>
  </si>
  <si>
    <t>l=n.tolerance||.001</t>
  </si>
  <si>
    <t>c=n.iterationLimit||30</t>
  </si>
  <si>
    <t>u=t.getPointAtLength(0)[r]&gt;t.getPointAtLength(s)[r]?-1:1</t>
  </si>
  <si>
    <t>p=s;h&lt;c;){if(i=(f+p)/2</t>
  </si>
  <si>
    <t>o=(a=t.getPointAtLength(i))[r]-e</t>
  </si>
  <si>
    <t>Math.abs(o)&lt;l)return a;u*o&gt;0?p=i:f=i</t>
  </si>
  <si>
    <t>h++}return a}}</t>
  </si>
  <si>
    <t>46998:function(t</t>
  </si>
  <si>
    <t>a=r(162)</t>
  </si>
  <si>
    <t>o=r(88856)</t>
  </si>
  <si>
    <t>s=r(10229).defaultLine</t>
  </si>
  <si>
    <t>l=r(87800).isArrayOrTypedArray</t>
  </si>
  <si>
    <t>c=a(s);function u(t</t>
  </si>
  <si>
    <t>e){var r=t;return r[3]*=e</t>
  </si>
  <si>
    <t>r}function h(t){if(n(t))return c;var e=a(t);return e.length?e:c}function f(t){return n(t)?t:1}t.exports={formatColor:function(t</t>
  </si>
  <si>
    <t>r){var n=t.color;n&amp;&amp;n._inputArray&amp;&amp;(n=n._inputArray);var i</t>
  </si>
  <si>
    <t>g=l(n)</t>
  </si>
  <si>
    <t>y=l(e)</t>
  </si>
  <si>
    <t>v=o.extractOpts(t)</t>
  </si>
  <si>
    <t>x=[];if(i=void 0!==v.colorscale?o.makeColorScaleFuncFromTrace(t):h</t>
  </si>
  <si>
    <t>s=g?function(t</t>
  </si>
  <si>
    <t>e){return void 0===t[e]?c:a(i(t[e]))}:h</t>
  </si>
  <si>
    <t>p=y?function(t</t>
  </si>
  <si>
    <t>e){return void 0===t[e]?1:f(t[e])}:f</t>
  </si>
  <si>
    <t>g||y)for(var _=0;_&lt;r;_++)d=s(n</t>
  </si>
  <si>
    <t>m=p(e</t>
  </si>
  <si>
    <t>x[_]=u(d</t>
  </si>
  <si>
    <t>m);else x=u(a(n)</t>
  </si>
  <si>
    <t>e);return x}</t>
  </si>
  <si>
    <t>parseColorScale:function(t){var e=o.extractOpts(t)</t>
  </si>
  <si>
    <t>r=e.colorscale;return e.reversescale&amp;&amp;(r=o.flipScale(e.colorscale))</t>
  </si>
  <si>
    <t>r.map((function(t){var e=t[0]</t>
  </si>
  <si>
    <t>r=i(t[1]).toRgb();return{index:e</t>
  </si>
  <si>
    <t>rgb:[r.r</t>
  </si>
  <si>
    <t>r.g</t>
  </si>
  <si>
    <t>r.b</t>
  </si>
  <si>
    <t>r.a]}}))}}}</t>
  </si>
  <si>
    <t>71293:function(t</t>
  </si>
  <si>
    <t>r){""use strict"";var n=r(29527);function i(t){return[t]}t.exports={keyFun:function(t){return t.key}</t>
  </si>
  <si>
    <t>repeat:i</t>
  </si>
  <si>
    <t>descend:n</t>
  </si>
  <si>
    <t>wrap:i</t>
  </si>
  <si>
    <t>unwrap:function(t){return t[0]}}}</t>
  </si>
  <si>
    <t>29527:function(t){""use strict"";t.exports=function(t){return t}}</t>
  </si>
  <si>
    <t>10688:function(t){""use strict"";t.exports=function(t</t>
  </si>
  <si>
    <t>e){if(!e)return t;var r=1/Math.abs(e)</t>
  </si>
  <si>
    <t>n=r&gt;1?(r*t+r*e)/r:t+e</t>
  </si>
  <si>
    <t>i=String(n).length;if(i&gt;16){var a=String(e).length;if(i&gt;=String(t).length+a){var o=parseFloat(n).toPrecision(12);-1===o.indexOf(""e+"")&amp;&amp;(n=+o)}}return n}}</t>
  </si>
  <si>
    <t>34809:function(t</t>
  </si>
  <si>
    <t>i=r(42696).aL</t>
  </si>
  <si>
    <t>a=r(36464).GP</t>
  </si>
  <si>
    <t>s=r(63821)</t>
  </si>
  <si>
    <t>l=s.FP_SAFE</t>
  </si>
  <si>
    <t>c=-l</t>
  </si>
  <si>
    <t>u=s.BADNUM</t>
  </si>
  <si>
    <t>h=t.exports={};h.adjustFormat=function(t){return!t||/^\d[.]\df/.test(t)||/[.]\d%/.test(t)?t:""0.f""===t?""~f"":/^\d%/.test(t)?""~%"":/^\ds/.test(t)?""~s"":!/^[~</t>
  </si>
  <si>
    <t>.0$]/.test(t)&amp;&amp;/[&amp;fps]/.test(t)?""~""+t:t};var f={};h.warnBadFormat=function(t){var e=String(t);f[e]||(f[e]=1</t>
  </si>
  <si>
    <t>h.warn('encountered bad format: ""'+e+'""'))}</t>
  </si>
  <si>
    <t>h.noFormat=function(t){return String(t)}</t>
  </si>
  <si>
    <t>h.numberFormat=function(t){var e;try{e=a(h.adjustFormat(t))}catch(e){return h.warnBadFormat(t)</t>
  </si>
  <si>
    <t>h.noFormat}return e}</t>
  </si>
  <si>
    <t>h.nestedProperty=r(35632)</t>
  </si>
  <si>
    <t>h.keyedContainer=r(34967)</t>
  </si>
  <si>
    <t>h.relativeAttr=r(82047)</t>
  </si>
  <si>
    <t>h.isPlainObject=r(56174)</t>
  </si>
  <si>
    <t>h.toLogRange=r(8083)</t>
  </si>
  <si>
    <t>h.relinkPrivateKeys=r(80428);var p=r(87800);h.isArrayBuffer=p.isArrayBuffer</t>
  </si>
  <si>
    <t>h.isTypedArray=p.isTypedArray</t>
  </si>
  <si>
    <t>h.isArrayOrTypedArray=p.isArrayOrTypedArray</t>
  </si>
  <si>
    <t>h.isArray1D=p.isArray1D</t>
  </si>
  <si>
    <t>h.ensureArray=p.ensureArray</t>
  </si>
  <si>
    <t>h.concat=p.concat</t>
  </si>
  <si>
    <t>h.maxRowLength=p.maxRowLength</t>
  </si>
  <si>
    <t>h.minRowLength=p.minRowLength;var d=r(98953);h.mod=d.mod</t>
  </si>
  <si>
    <t>h.modHalf=d.modHalf;var m=r(34220);h.valObjectMeta=m.valObjectMeta</t>
  </si>
  <si>
    <t>h.coerce=m.coerce</t>
  </si>
  <si>
    <t>h.coerce2=m.coerce2</t>
  </si>
  <si>
    <t>h.coerceFont=m.coerceFont</t>
  </si>
  <si>
    <t>h.coercePattern=m.coercePattern</t>
  </si>
  <si>
    <t>h.coerceHoverinfo=m.coerceHoverinfo</t>
  </si>
  <si>
    <t>h.coerceSelectionMarkerOpacity=m.coerceSelectionMarkerOpacity</t>
  </si>
  <si>
    <t>h.validate=m.validate;var g=r(92596);h.dateTime2ms=g.dateTime2ms</t>
  </si>
  <si>
    <t>h.isDateTime=g.isDateTime</t>
  </si>
  <si>
    <t>h.ms2DateTime=g.ms2DateTime</t>
  </si>
  <si>
    <t>h.ms2DateTimeLocal=g.ms2DateTimeLocal</t>
  </si>
  <si>
    <t>h.cleanDate=g.cleanDate</t>
  </si>
  <si>
    <t>h.isJSDate=g.isJSDate</t>
  </si>
  <si>
    <t>h.formatDate=g.formatDate</t>
  </si>
  <si>
    <t>h.incrementMonth=g.incrementMonth</t>
  </si>
  <si>
    <t>h.dateTick0=g.dateTick0</t>
  </si>
  <si>
    <t>h.dfltRange=g.dfltRange</t>
  </si>
  <si>
    <t>h.findExactDates=g.findExactDates</t>
  </si>
  <si>
    <t>h.MIN_MS=g.MIN_MS</t>
  </si>
  <si>
    <t>h.MAX_MS=g.MAX_MS;var y=r(98813);h.findBin=y.findBin</t>
  </si>
  <si>
    <t>h.sorterAsc=y.sorterAsc</t>
  </si>
  <si>
    <t>h.sorterDes=y.sorterDes</t>
  </si>
  <si>
    <t>h.distinctVals=y.distinctVals</t>
  </si>
  <si>
    <t>h.roundUp=y.roundUp</t>
  </si>
  <si>
    <t>h.sort=y.sort</t>
  </si>
  <si>
    <t>h.findIndexOfMin=y.findIndexOfMin</t>
  </si>
  <si>
    <t>h.sortObjectKeys=r(62994);var v=r(89258);h.aggNums=v.aggNums</t>
  </si>
  <si>
    <t>h.len=v.len</t>
  </si>
  <si>
    <t>h.mean=v.mean</t>
  </si>
  <si>
    <t>h.geometricMean=v.geometricMean</t>
  </si>
  <si>
    <t>h.median=v.median</t>
  </si>
  <si>
    <t>h.midRange=v.midRange</t>
  </si>
  <si>
    <t>h.variance=v.variance</t>
  </si>
  <si>
    <t>h.stdev=v.stdev</t>
  </si>
  <si>
    <t>h.interp=v.interp;var x=r(15236);h.init2dArray=x.init2dArray</t>
  </si>
  <si>
    <t>h.transposeRagged=x.transposeRagged</t>
  </si>
  <si>
    <t>h.dot=x.dot</t>
  </si>
  <si>
    <t>h.translationMatrix=x.translationMatrix</t>
  </si>
  <si>
    <t>h.rotationMatrix=x.rotationMatrix</t>
  </si>
  <si>
    <t>h.rotationXYMatrix=x.rotationXYMatrix</t>
  </si>
  <si>
    <t>h.apply3DTransform=x.apply3DTransform</t>
  </si>
  <si>
    <t>h.apply2DTransform=x.apply2DTransform</t>
  </si>
  <si>
    <t>h.apply2DTransform2=x.apply2DTransform2</t>
  </si>
  <si>
    <t>h.convertCssMatrix=x.convertCssMatrix</t>
  </si>
  <si>
    <t>h.inverseTransformMatrix=x.inverseTransformMatrix;var _=r(44313);h.deg2rad=_.deg2rad</t>
  </si>
  <si>
    <t>h.rad2deg=_.rad2deg</t>
  </si>
  <si>
    <t>h.angleDelta=_.angleDelta</t>
  </si>
  <si>
    <t>h.angleDist=_.angleDist</t>
  </si>
  <si>
    <t>h.isFullCircle=_.isFullCircle</t>
  </si>
  <si>
    <t>h.isAngleInsideSector=_.isAngleInsideSector</t>
  </si>
  <si>
    <t>h.isPtInsideSector=_.isPtInsideSector</t>
  </si>
  <si>
    <t>h.pathArc=_.pathArc</t>
  </si>
  <si>
    <t>h.pathSector=_.pathSector</t>
  </si>
  <si>
    <t>h.pathAnnulus=_.pathAnnulus;var b=r(32546);h.isLeftAnchor=b.isLeftAnchor</t>
  </si>
  <si>
    <t>h.isCenterAnchor=b.isCenterAnchor</t>
  </si>
  <si>
    <t>h.isRightAnchor=b.isRightAnchor</t>
  </si>
  <si>
    <t>h.isTopAnchor=b.isTopAnchor</t>
  </si>
  <si>
    <t>h.isMiddleAnchor=b.isMiddleAnchor</t>
  </si>
  <si>
    <t>h.isBottomAnchor=b.isBottomAnchor;var w=r(3447);h.segmentsIntersect=w.segmentsIntersect</t>
  </si>
  <si>
    <t>h.segmentDistance=w.segmentDistance</t>
  </si>
  <si>
    <t>h.getTextLocation=w.getTextLocation</t>
  </si>
  <si>
    <t>h.clearLocationCache=w.clearLocationCache</t>
  </si>
  <si>
    <t>h.getVisibleSegment=w.getVisibleSegment</t>
  </si>
  <si>
    <t>h.findPointOnPath=w.findPointOnPath;var T=r(93049);h.extendFlat=T.extendFlat</t>
  </si>
  <si>
    <t>h.extendDeep=T.extendDeep</t>
  </si>
  <si>
    <t>h.extendDeepAll=T.extendDeepAll</t>
  </si>
  <si>
    <t>h.extendDeepNoArrays=T.extendDeepNoArrays;var k=r(48636);h.log=k.log</t>
  </si>
  <si>
    <t>h.warn=k.warn</t>
  </si>
  <si>
    <t>h.error=k.error;var A=r(90694);h.counterRegex=A.counter;var M=r(64025);h.throttle=M.throttle</t>
  </si>
  <si>
    <t>h.throttleDone=M.done</t>
  </si>
  <si>
    <t>h.clearThrottle=M.clear;var S=r(95425);function E(t){var e={};for(var r in t)for(var n=t[r]</t>
  </si>
  <si>
    <t>i=0;i&lt;n.length;i++)e[n[i]]=+r;return e}h.getGraphDiv=S.getGraphDiv</t>
  </si>
  <si>
    <t>h.isPlotDiv=S.isPlotDiv</t>
  </si>
  <si>
    <t>h.removeElement=S.removeElement</t>
  </si>
  <si>
    <t>h.addStyleRule=S.addStyleRule</t>
  </si>
  <si>
    <t>h.addRelatedStyleRule=S.addRelatedStyleRule</t>
  </si>
  <si>
    <t>h.deleteRelatedStyleRule=S.deleteRelatedStyleRule</t>
  </si>
  <si>
    <t>h.getFullTransformMatrix=S.getFullTransformMatrix</t>
  </si>
  <si>
    <t>h.getElementTransformMatrix=S.getElementTransformMatrix</t>
  </si>
  <si>
    <t>h.getElementAndAncestors=S.getElementAndAncestors</t>
  </si>
  <si>
    <t>h.equalDomRects=S.equalDomRects</t>
  </si>
  <si>
    <t>h.clearResponsive=r(23493)</t>
  </si>
  <si>
    <t>h.preserveDrawingBuffer=r(32521)</t>
  </si>
  <si>
    <t>h.makeTraceGroups=r(75944)</t>
  </si>
  <si>
    <t>h._=r(38514)</t>
  </si>
  <si>
    <t>h.notifier=r(87355)</t>
  </si>
  <si>
    <t>h.filterUnique=r(48965)</t>
  </si>
  <si>
    <t>h.filterVisible=r(78926)</t>
  </si>
  <si>
    <t>h.pushUnique=r(36539)</t>
  </si>
  <si>
    <t>h.increment=r(10688)</t>
  </si>
  <si>
    <t>h.cleanNumber=r(44498)</t>
  </si>
  <si>
    <t>h.ensureNumber=function(t){return o(t)?(t=Number(t))&gt;l||t&lt;c?u:t:u}</t>
  </si>
  <si>
    <t>h.isIndex=function(t</t>
  </si>
  <si>
    <t>e){return!(void 0!==e&amp;&amp;t&gt;=e)&amp;&amp;o(t)&amp;&amp;t&gt;=0&amp;&amp;t%1==0}</t>
  </si>
  <si>
    <t>h.noop=r(4969)</t>
  </si>
  <si>
    <t>h.identity=r(29527)</t>
  </si>
  <si>
    <t>h.repeat=function(t</t>
  </si>
  <si>
    <t>e){for(var r=new Array(e)</t>
  </si>
  <si>
    <t>n=0;n&lt;e;n++)r[n]=t;return r}</t>
  </si>
  <si>
    <t>h.swapAttrs=function(t</t>
  </si>
  <si>
    <t>n){r||(r=""x"")</t>
  </si>
  <si>
    <t>n||(n=""y"");for(var i=0;i&lt;e.length;i++){var a=e[i]</t>
  </si>
  <si>
    <t>o=h.nestedProperty(t</t>
  </si>
  <si>
    <t>a.replace(""?""</t>
  </si>
  <si>
    <t>s=h.nestedProperty(t</t>
  </si>
  <si>
    <t>l=o.get();o.set(s.get())</t>
  </si>
  <si>
    <t>s.set(l)}}</t>
  </si>
  <si>
    <t>h.raiseToTop=function(t){t.parentNode.appendChild(t)}</t>
  </si>
  <si>
    <t>h.cancelTransition=function(t){return t.transition().duration(0)}</t>
  </si>
  <si>
    <t>h.constrain=function(t</t>
  </si>
  <si>
    <t>r){return e&gt;r?Math.max(r</t>
  </si>
  <si>
    <t>Math.min(e</t>
  </si>
  <si>
    <t>t)):Math.max(e</t>
  </si>
  <si>
    <t>Math.min(r</t>
  </si>
  <si>
    <t>t))}</t>
  </si>
  <si>
    <t>h.bBoxIntersect=function(t</t>
  </si>
  <si>
    <t>r){return r=r||0</t>
  </si>
  <si>
    <t>t.left&lt;=e.right+r&amp;&amp;e.left&lt;=t.right+r&amp;&amp;t.top&lt;=e.bottom+r&amp;&amp;e.top&lt;=t.bottom+r}</t>
  </si>
  <si>
    <t>h.simpleMap=function(t</t>
  </si>
  <si>
    <t>i){for(var a=t.length</t>
  </si>
  <si>
    <t>s=0;s&lt;a;s++)o[s]=e(t[s]</t>
  </si>
  <si>
    <t>i);return o}</t>
  </si>
  <si>
    <t>h.randstr=function t(e</t>
  </si>
  <si>
    <t>i){if(n||(n=16)</t>
  </si>
  <si>
    <t>void 0===r&amp;&amp;(r=24)</t>
  </si>
  <si>
    <t>r&lt;=0)return""0"";var a</t>
  </si>
  <si>
    <t>s=Math.log(Math.pow(2</t>
  </si>
  <si>
    <t>r))/Math.log(n)</t>
  </si>
  <si>
    <t>l="""";for(a=2;s===1/0;a*=2)s=Math.log(Math.pow(2</t>
  </si>
  <si>
    <t>r/a))/Math.log(n)*a;var c=s-Math.floor(s);for(a=0;a&lt;Math.floor(s);a++)l=Math.floor(Math.random()*n).toString(n)+l;c&amp;&amp;(o=Math.pow(n</t>
  </si>
  <si>
    <t>l=Math.floor(Math.random()*o).toString(n)+l);var u=parseInt(l</t>
  </si>
  <si>
    <t>n);return e&amp;&amp;e[l]||u!==1/0&amp;&amp;u&gt;=Math.pow(2</t>
  </si>
  <si>
    <t>r)?i&gt;10?(h.warn(""randstr failed uniqueness"")</t>
  </si>
  <si>
    <t>l):t(e</t>
  </si>
  <si>
    <t>(i||0)+1):l}</t>
  </si>
  <si>
    <t>h.OptionControl=function(t</t>
  </si>
  <si>
    <t>e){t||(t={})</t>
  </si>
  <si>
    <t>e||(e=""opt"");var r={optionList:[]</t>
  </si>
  <si>
    <t>_newoption:function(n){n[e]=t</t>
  </si>
  <si>
    <t>r[n.name]=n</t>
  </si>
  <si>
    <t>r.optionList.push(n)}};return r[""_""+e]=t</t>
  </si>
  <si>
    <t>h.smooth=function(t</t>
  </si>
  <si>
    <t>e){if((e=Math.round(e)||0)&lt;2)return t;var r</t>
  </si>
  <si>
    <t>o=t.length</t>
  </si>
  <si>
    <t>s=2*o</t>
  </si>
  <si>
    <t>l=2*e-1</t>
  </si>
  <si>
    <t>u=new Array(o);for(r=0;r&lt;l;r++)c[r]=(1-Math.cos(Math.PI*(r+1)/e))/(2*e);for(r=0;r&lt;o;r++){for(a=0</t>
  </si>
  <si>
    <t>n=0;n&lt;l;n++)(i=r+n+1-e)&lt;-o?i-=s*Math.round(i/s):i&gt;=s&amp;&amp;(i-=s*Math.floor(i/s))</t>
  </si>
  <si>
    <t>i&lt;0?i=-1-i:i&gt;=o&amp;&amp;(i=s-1-i)</t>
  </si>
  <si>
    <t>a+=t[i]*c[n];u[r]=a}return u}</t>
  </si>
  <si>
    <t>h.syncOrAsync=function(t</t>
  </si>
  <si>
    <t>r){var n;function i(){return h.syncOrAsync(t</t>
  </si>
  <si>
    <t>r)}for(;t.length;)if((n=(0</t>
  </si>
  <si>
    <t>t.splice(0</t>
  </si>
  <si>
    <t>1)[0])(e))&amp;&amp;n.then)return n.then(i);return r&amp;&amp;r(e)}</t>
  </si>
  <si>
    <t>h.stripTrailingSlash=function(t){return""/""===t.substr(-1)?t.substr(0</t>
  </si>
  <si>
    <t>t.length-1):t}</t>
  </si>
  <si>
    <t>h.noneOrAll=function(t</t>
  </si>
  <si>
    <t>r){if(t){var n</t>
  </si>
  <si>
    <t>a=!0;for(n=0;n&lt;r.length;n++)null!=t[r[n]]?i=!0:a=!1;if(i&amp;&amp;!a)for(n=0;n&lt;r.length;n++)t[r[n]]=e[r[n]]}}</t>
  </si>
  <si>
    <t>h.mergeArray=function(t</t>
  </si>
  <si>
    <t>n){var i=""function""==typeof n;if(h.isArrayOrTypedArray(t))for(var a=Math.min(t.length</t>
  </si>
  <si>
    <t>e.length)</t>
  </si>
  <si>
    <t>o=0;o&lt;a;o++){var s=t[o];e[o][r]=i?n(s):s}}</t>
  </si>
  <si>
    <t>h.mergeArrayCastPositive=function(t</t>
  </si>
  <si>
    <t>r){return h.mergeArray(t</t>
  </si>
  <si>
    <t>(function(t){var e=+t;return isFinite(e)&amp;&amp;e&gt;0?e:0}))}</t>
  </si>
  <si>
    <t>h.fillArray=function(t</t>
  </si>
  <si>
    <t>n){if(n=n||h.identity</t>
  </si>
  <si>
    <t>h.isArrayOrTypedArray(t))for(var i=0;i&lt;e.length;i++)e[i][r]=n(t[i])}</t>
  </si>
  <si>
    <t>h.castOption=function(t</t>
  </si>
  <si>
    <t>n){n=n||h.identity;var i=h.nestedProperty(t</t>
  </si>
  <si>
    <t>r).get();return h.isArrayOrTypedArray(i)?Array.isArray(e)&amp;&amp;h.isArrayOrTypedArray(i[e[0]])?n(i[e[0]][e[1]]):n(i[e]):i}</t>
  </si>
  <si>
    <t>h.extractOption=function(t</t>
  </si>
  <si>
    <t>n){if(r in t)return t[r];var i=h.nestedProperty(e</t>
  </si>
  <si>
    <t>n).get();return Array.isArray(i)?void 0:i}</t>
  </si>
  <si>
    <t>h.tagSelected=function(t</t>
  </si>
  <si>
    <t>a=e.selectedpoints</t>
  </si>
  <si>
    <t>o=e._indexToPoints;o&amp;&amp;(n=E(o));for(var s=0;s&lt;a.length;s++){var l=a[s];if(h.isIndex(l)||h.isArrayOrTypedArray(l)&amp;&amp;h.isIndex(l[0])&amp;&amp;h.isIndex(l[1])){var c=n?n[l]:l</t>
  </si>
  <si>
    <t>u=r?r[c]:c;void 0!==(i=u)&amp;&amp;i&lt;t.length&amp;&amp;(t[u].selected=1)}}}</t>
  </si>
  <si>
    <t>h.selIndices2selPoints=function(t){var e=t.selectedpoints</t>
  </si>
  <si>
    <t>r=t._indexToPoints;if(r){for(var n=E(r)</t>
  </si>
  <si>
    <t>a=0;a&lt;e.length;a++){var o=e[a];if(h.isIndex(o)){var s=n[o];h.isIndex(s)&amp;&amp;i.push(s)}}return i}return e}</t>
  </si>
  <si>
    <t>h.getTargetArray=function(t</t>
  </si>
  <si>
    <t>e){var r=e.target;if(""string""==typeof r&amp;&amp;r){var n=h.nestedProperty(t</t>
  </si>
  <si>
    <t>r).get();return!!h.isArrayOrTypedArray(n)&amp;&amp;n}return!!h.isArrayOrTypedArray(r)&amp;&amp;r}</t>
  </si>
  <si>
    <t>h.minExtend=function t(e</t>
  </si>
  <si>
    <t>n){var i={};""object""!=typeof r&amp;&amp;(r={});var a</t>
  </si>
  <si>
    <t>l=""pieLike""===n?-1:3</t>
  </si>
  <si>
    <t>c=Object.keys(e);for(a=0;a&lt;c.length;a++)s=e[o=c[a]]</t>
  </si>
  <si>
    <t>_""!==o.charAt(0)&amp;&amp;""function""!=typeof s&amp;&amp;(""module""===o?i[o]=s:Array.isArray(s)?i[o]=""colorscale""===o||-1===l?s.slice():s.slice(0</t>
  </si>
  <si>
    <t>l):h.isTypedArray(s)?i[o]=-1===l?s.subarray():s.subarray(0</t>
  </si>
  <si>
    <t>l):i[o]=s&amp;&amp;""object""==typeof s?t(e[o]</t>
  </si>
  <si>
    <t>r[o]</t>
  </si>
  <si>
    <t>n):s);for(c=Object.keys(r)</t>
  </si>
  <si>
    <t>a=0;a&lt;c.length;a++)""object""==typeof(s=r[o=c[a]])&amp;&amp;o in i&amp;&amp;""object""==typeof i[o]||(i[o]=s);return i}</t>
  </si>
  <si>
    <t>h.titleCase=function(t){return t.charAt(0).toUpperCase()+t.substr(1)}</t>
  </si>
  <si>
    <t>h.containsAny=function(t</t>
  </si>
  <si>
    <t>e){for(var r=0;r&lt;e.length;r++)if(-1!==t.indexOf(e[r]))return!0;return!1}</t>
  </si>
  <si>
    <t>h.isIE=function(){return void 0!==window.navigator.msSaveBlob};var C=/Version\/[\d\.]+.*Safari/;h.isSafari=function(){return C.test(window.navigator.userAgent)};var L=/iPad|iPhone|iPod/;h.isIOS=function(){return L.test(window.navigator.userAgent)};var I=/Firefox\/(\d+)\.\d+/;h.getFirefoxVersion=function(){var t=I.exec(window.navigator.userAgent);if(t&amp;&amp;2===t.length){var e=parseInt(t[1]);if(!isNaN(e))return e}return null}</t>
  </si>
  <si>
    <t>h.isD3Selection=function(t){return t instanceof n.selection}</t>
  </si>
  <si>
    <t>h.ensureSingle=function(t</t>
  </si>
  <si>
    <t>n){var i=t.select(e+(r?"".""+r:""""));if(i.size())return i;var a=t.append(e);return r&amp;&amp;a.classed(r</t>
  </si>
  <si>
    <t>n&amp;&amp;a.call(n)</t>
  </si>
  <si>
    <t>h.ensureSingleById=function(t</t>
  </si>
  <si>
    <t>n){var i=t.select(e+""#""+r);if(i.size())return i;var a=t.append(e).attr(""id""</t>
  </si>
  <si>
    <t>r);return n&amp;&amp;a.call(n)</t>
  </si>
  <si>
    <t>h.objectFromPath=function(t</t>
  </si>
  <si>
    <t>n=t.split(""."")</t>
  </si>
  <si>
    <t>i=r={}</t>
  </si>
  <si>
    <t>a=0;a&lt;n.length;a++){var o=n[a]</t>
  </si>
  <si>
    <t>s=null</t>
  </si>
  <si>
    <t>l=n[a].match(/(.*)\[([0-9]+)\]/);l?(o=l[1]</t>
  </si>
  <si>
    <t>s=l[2]</t>
  </si>
  <si>
    <t>r=r[o]=[]</t>
  </si>
  <si>
    <t>a===n.length-1?r[s]=e:r[s]={}</t>
  </si>
  <si>
    <t>r=r[s]):(a===n.length-1?r[o]=e:r[o]={}</t>
  </si>
  <si>
    <t>r=r[o])}return i};var P=/^([^\[\.]+)\.(.+)?/</t>
  </si>
  <si>
    <t>z=/^([^\.]+)\[([0-9]+)\](\.)?(.+)?/;function O(t){return""__""===t.slice(0</t>
  </si>
  <si>
    <t>2)}h.expandObjectPaths=function(t){var e</t>
  </si>
  <si>
    <t>s;if(""object""==typeof t&amp;&amp;!Array.isArray(t))for(r in t)if(t.hasOwnProperty(r))if(e=r.match(P)){if(i=t[r]</t>
  </si>
  <si>
    <t>O(n=e[1]))continue;delete t[r]</t>
  </si>
  <si>
    <t>t[n]=h.extendDeepNoArrays(t[n]||{}</t>
  </si>
  <si>
    <t>h.objectFromPath(r</t>
  </si>
  <si>
    <t>h.expandObjectPaths(i))[n])}else if(e=r.match(z)){if(i=t[r]</t>
  </si>
  <si>
    <t>O(n=e[1]))continue;if(a=parseInt(e[2])</t>
  </si>
  <si>
    <t>delete t[r]</t>
  </si>
  <si>
    <t>t[n]=t[n]||[]</t>
  </si>
  <si>
    <t>.""===e[3])s=e[4]</t>
  </si>
  <si>
    <t>o=t[n][a]=t[n][a]||{}</t>
  </si>
  <si>
    <t>h.extendDeepNoArrays(o</t>
  </si>
  <si>
    <t>h.objectFromPath(s</t>
  </si>
  <si>
    <t>h.expandObjectPaths(i)));else{if(O(n))continue;t[n][a]=h.expandObjectPaths(i)}}else{if(O(r))continue;t[r]=h.expandObjectPaths(t[r])}return t}</t>
  </si>
  <si>
    <t>h.numSeparate=function(t</t>
  </si>
  <si>
    <t>r){if(r||(r=!1)</t>
  </si>
  <si>
    <t>string""!=typeof e||0===e.length)throw new Error(""Separator string required for formatting!"");""number""==typeof t&amp;&amp;(t=String(t));var n=/(\d+)(\d{3})/</t>
  </si>
  <si>
    <t>i=e.charAt(0)</t>
  </si>
  <si>
    <t>a=e.charAt(1)</t>
  </si>
  <si>
    <t>o=t.split(""."")</t>
  </si>
  <si>
    <t>s=o[0]</t>
  </si>
  <si>
    <t>l=o.length&gt;1?i+o[1]:"""";if(a&amp;&amp;(o.length&gt;1||s.length&gt;4||r))for(;n.test(s);)s=s.replace(n</t>
  </si>
  <si>
    <t>$1""+a+""$2"");return s+l}</t>
  </si>
  <si>
    <t>h.TEMPLATE_STRING_REGEX=/%{([^\s%{}:]*)([:|\|][^}]*)?}/g;var D=/^\w*$/;h.templateString=function(t</t>
  </si>
  <si>
    <t>e){var r={};return t.replace(h.TEMPLATE_STRING_REGEX</t>
  </si>
  <si>
    <t>n){var i;return D.test(n)?i=e[n]:(r[n]=r[n]||h.nestedProperty(e</t>
  </si>
  <si>
    <t>n).get</t>
  </si>
  <si>
    <t>i=r[n]())</t>
  </si>
  <si>
    <t>h.isValidTextValue(i)?i:""""}))};var R={max:10</t>
  </si>
  <si>
    <t>count:0</t>
  </si>
  <si>
    <t>name:""hovertemplate""};h.hovertemplateString=function(){return U.apply(R</t>
  </si>
  <si>
    <t>arguments)};var F={max:10</t>
  </si>
  <si>
    <t>name:""texttemplate""};h.texttemplateString=function(){return U.apply(F</t>
  </si>
  <si>
    <t>arguments)};var B=/^(\S+)([\*\/])(-?\d+(\.\d+)?)$/</t>
  </si>
  <si>
    <t>N={max:10</t>
  </si>
  <si>
    <t>name:""texttemplate""</t>
  </si>
  <si>
    <t>parseMultDiv:!0};h.texttemplateStringForShapes=function(){return U.apply(N</t>
  </si>
  <si>
    <t>arguments)};var j=/^[:|\|]/;function U(t</t>
  </si>
  <si>
    <t>r){var n=this</t>
  </si>
  <si>
    <t>a=arguments;e||(e={});var o={};return t.replace(h.TEMPLATE_STRING_REGEX</t>
  </si>
  <si>
    <t>l){var c=""_xother""===s||""_yother""===s</t>
  </si>
  <si>
    <t>u=""_xother_""===s||""_yother_""===s</t>
  </si>
  <si>
    <t>f=""xother_""===s||""yother_""===s</t>
  </si>
  <si>
    <t>p=""xother""===s||""yother""===s||c||f||u</t>
  </si>
  <si>
    <t>d=s;(c||u)&amp;&amp;(d=d.substring(1))</t>
  </si>
  <si>
    <t>(f||u)&amp;&amp;(d=d.substring(0</t>
  </si>
  <si>
    <t>d.length-1));var m</t>
  </si>
  <si>
    <t>v=null</t>
  </si>
  <si>
    <t>x=null;if(n.parseMultDiv){var _=function(t){var e=t.match(B);return e?{key:e[1]</t>
  </si>
  <si>
    <t>op:e[2]</t>
  </si>
  <si>
    <t>number:Number(e[3])}:{key:t</t>
  </si>
  <si>
    <t>op:null</t>
  </si>
  <si>
    <t>number:null}}(d);d=_.key</t>
  </si>
  <si>
    <t>v=_.op</t>
  </si>
  <si>
    <t>x=_.number}if(p){if(void 0===(m=e[d]))return""""}else for(y=3;y&lt;a.length;y++)if(g=a[y]){if(g.hasOwnProperty(d)){m=g[d];break}if(D.test(d)||(m=h.nestedProperty(g</t>
  </si>
  <si>
    <t>d).get()</t>
  </si>
  <si>
    <t>(m=o[d]||h.nestedProperty(g</t>
  </si>
  <si>
    <t>d).get())&amp;&amp;(o[d]=m))</t>
  </si>
  <si>
    <t>void 0!==m)break}if(void 0!==m&amp;&amp;(""*""===v&amp;&amp;(m*=x)</t>
  </si>
  <si>
    <t>/""===v&amp;&amp;(m/=x))</t>
  </si>
  <si>
    <t>void 0===m&amp;&amp;n)return n.count&lt;n.max&amp;&amp;(h.warn(""Variable '""+d+""' in ""+n.name+"" could not be found!"")</t>
  </si>
  <si>
    <t>m=t)</t>
  </si>
  <si>
    <t>n.count===n.max&amp;&amp;h.warn(""Too many ""+n.name+"" warnings - additional warnings will be suppressed"")</t>
  </si>
  <si>
    <t>n.count++</t>
  </si>
  <si>
    <t>t;if(l){var b;if("":""===l[0]&amp;&amp;(b=r?r.numberFormat:h.numberFormat</t>
  </si>
  <si>
    <t>"!==m&amp;&amp;(m=b(l.replace(j</t>
  </si>
  <si>
    <t>"))(m)))</t>
  </si>
  <si>
    <t>|""===l[0]){b=r?r.timeFormat:i;var w=h.dateTime2ms(m);m=h.formatDate(w</t>
  </si>
  <si>
    <t>l.replace(j</t>
  </si>
  <si>
    <t>b)}}else{var T=d+""Label"";e.hasOwnProperty(T)&amp;&amp;(m=e[T])}return p&amp;&amp;(m=""(""+m+"")""</t>
  </si>
  <si>
    <t>(c||u)&amp;&amp;(m="" ""+m)</t>
  </si>
  <si>
    <t>(f||u)&amp;&amp;(m+="" ""))</t>
  </si>
  <si>
    <t>m}))}h.subplotSort=function(t</t>
  </si>
  <si>
    <t>e){for(var r=Math.min(t.length</t>
  </si>
  <si>
    <t>e.length)+1</t>
  </si>
  <si>
    <t>a=0;a&lt;r;a++){var o=t.charCodeAt(a)||0</t>
  </si>
  <si>
    <t>s=e.charCodeAt(a)||0</t>
  </si>
  <si>
    <t>l=o&gt;=48&amp;&amp;o&lt;=57</t>
  </si>
  <si>
    <t>c=s&gt;=48&amp;&amp;s&lt;=57;if(l&amp;&amp;(n=10*n+o-48)</t>
  </si>
  <si>
    <t>c&amp;&amp;(i=10*i+s-48)</t>
  </si>
  <si>
    <t>!l||!c){if(n!==i)return n-i;if(o!==s)return o-s}}return i-n};var V=2e9;h.seedPseudoRandom=function(){V=2e9}</t>
  </si>
  <si>
    <t>h.pseudoRandom=function(){var t=V;return V=(69069*V+1)%4294967296</t>
  </si>
  <si>
    <t>Math.abs(V-t)&lt;429496729?h.pseudoRandom():V/4294967296}</t>
  </si>
  <si>
    <t>h.fillText=function(t</t>
  </si>
  <si>
    <t>r){var n=Array.isArray(r)?function(t){r.push(t)}:function(t){r.text=t}</t>
  </si>
  <si>
    <t>i=h.extractOption(t</t>
  </si>
  <si>
    <t>htx""</t>
  </si>
  <si>
    <t>hovertext"");if(h.isValidTextValue(i))return n(i);var a=h.extractOption(t</t>
  </si>
  <si>
    <t>text"");return h.isValidTextValue(a)?n(a):void 0}</t>
  </si>
  <si>
    <t>h.isValidTextValue=function(t){return t||0===t}</t>
  </si>
  <si>
    <t>h.formatPercent=function(t</t>
  </si>
  <si>
    <t>e){e=e||0;for(var r=(Math.round(100*t*Math.pow(10</t>
  </si>
  <si>
    <t>e))*Math.pow(.1</t>
  </si>
  <si>
    <t>e)).toFixed(e)+""%""</t>
  </si>
  <si>
    <t>n=0;n&lt;e;n++)-1!==r.indexOf(""."")&amp;&amp;(r=(r=r.replace(""0%""</t>
  </si>
  <si>
    <t>%"")).replace("".%""</t>
  </si>
  <si>
    <t>%""));return r}</t>
  </si>
  <si>
    <t>h.isHidden=function(t){var e=window.getComputedStyle(t).display;return!e||""none""===e}</t>
  </si>
  <si>
    <t>h.strTranslate=function(t</t>
  </si>
  <si>
    <t>e){return t||e?""translate(""+t+""</t>
  </si>
  <si>
    <t>+e+"")"":""""}</t>
  </si>
  <si>
    <t>h.strRotate=function(t){return t?""rotate(""+t+"")"":""""}</t>
  </si>
  <si>
    <t>h.strScale=function(t){return 1!==t?""scale(""+t+"")"":""""}</t>
  </si>
  <si>
    <t>h.getTextTransform=function(t){var e=t.noCenter</t>
  </si>
  <si>
    <t>r=t.textX</t>
  </si>
  <si>
    <t>n=t.textY</t>
  </si>
  <si>
    <t>i=t.targetX</t>
  </si>
  <si>
    <t>a=t.targetY</t>
  </si>
  <si>
    <t>o=t.anchorX||0</t>
  </si>
  <si>
    <t>s=t.anchorY||0</t>
  </si>
  <si>
    <t>l=t.rotate</t>
  </si>
  <si>
    <t>c=t.scale;return c?c&gt;1&amp;&amp;(c=1):c=0</t>
  </si>
  <si>
    <t>h.strTranslate(i-c*(r+o)</t>
  </si>
  <si>
    <t>a-c*(n+s))+h.strScale(c)+(l?""rotate(""+l+(e?"""":"" ""+r+"" ""+n)+"")"":"""")}</t>
  </si>
  <si>
    <t>h.setTransormAndDisplay=function(t</t>
  </si>
  <si>
    <t>e){t.attr(""transform""</t>
  </si>
  <si>
    <t>h.getTextTransform(e))</t>
  </si>
  <si>
    <t>t.style(""display""</t>
  </si>
  <si>
    <t>e.scale?null:""none"")}</t>
  </si>
  <si>
    <t>h.ensureUniformFontSize=function(t</t>
  </si>
  <si>
    <t>e){var r=h.extendFlat({}</t>
  </si>
  <si>
    <t>e);return r.size=Math.max(e.size</t>
  </si>
  <si>
    <t>t._fullLayout.uniformtext.minsize||0)</t>
  </si>
  <si>
    <t>h.join2=function(t</t>
  </si>
  <si>
    <t>r){var n=t.length;return n&gt;1?t.slice(0</t>
  </si>
  <si>
    <t>-1).join(e)+r+t[n-1]:t.join(e)}</t>
  </si>
  <si>
    <t>h.bigFont=function(t){return Math.round(1.2*t)};var q=h.getFirefoxVersion()</t>
  </si>
  <si>
    <t>H=null!==q&amp;&amp;q&lt;86;h.getPositionFromD3Event=function(){return H?[n.event.layerX</t>
  </si>
  <si>
    <t>n.event.layerY]:[n.event.offsetX</t>
  </si>
  <si>
    <t>n.event.offsetY]}}</t>
  </si>
  <si>
    <t>56174:function(t){""use strict"";t.exports=function(t){return window&amp;&amp;window.process&amp;&amp;window.process.versions?""[object Object]""===Object.prototype.toString.call(t):""[object Object]""===Object.prototype.toString.call(t)&amp;&amp;Object.getPrototypeOf(t).hasOwnProperty(""hasOwnProperty"")}}</t>
  </si>
  <si>
    <t>34967:function(t</t>
  </si>
  <si>
    <t>r){""use strict"";var n=r(35632)</t>
  </si>
  <si>
    <t>i=/^\w*$/;t.exports=function(t</t>
  </si>
  <si>
    <t>l;r=r||""name""</t>
  </si>
  <si>
    <t>a=a||""value"";var c={};e&amp;&amp;e.length?(l=n(t</t>
  </si>
  <si>
    <t>s=l.get()):s=t</t>
  </si>
  <si>
    <t>e=e||"""";var u={};if(s)for(o=0;o&lt;s.length;o++)u[s[o][r]]=o;var h=i.test(a)</t>
  </si>
  <si>
    <t>f={set:function(t</t>
  </si>
  <si>
    <t>e){var i=null===e?4:0;if(!s){if(!l||4===i)return;s=[]</t>
  </si>
  <si>
    <t>l.set(s)}var o=u[t];if(void 0===o){if(4===i)return;i|=3</t>
  </si>
  <si>
    <t>o=s.length</t>
  </si>
  <si>
    <t>u[t]=o}else e!==(h?s[o][a]:n(s[o]</t>
  </si>
  <si>
    <t>a).get())&amp;&amp;(i|=2);var p=s[o]=s[o]||{};return p[r]=t</t>
  </si>
  <si>
    <t>h?p[a]=e:n(p</t>
  </si>
  <si>
    <t>a).set(e)</t>
  </si>
  <si>
    <t>null!==e&amp;&amp;(i&amp;=-5)</t>
  </si>
  <si>
    <t>c[o]=c[o]|i</t>
  </si>
  <si>
    <t>get:function(t){if(s){var e=u[t];return void 0===e?void 0:h?s[e][a]:n(s[e]</t>
  </si>
  <si>
    <t>a).get()}}</t>
  </si>
  <si>
    <t>rename:function(t</t>
  </si>
  <si>
    <t>e){var n=u[t];return void 0===n||(c[n]=1|c[n]</t>
  </si>
  <si>
    <t>u[e]=n</t>
  </si>
  <si>
    <t>delete u[t]</t>
  </si>
  <si>
    <t>s[n][r]=e)</t>
  </si>
  <si>
    <t>remove:function(t){var e=u[t];if(void 0===e)return f;var i=s[e];if(Object.keys(i).length&gt;2)return c[e]=2|c[e]</t>
  </si>
  <si>
    <t>f.set(t</t>
  </si>
  <si>
    <t>null);if(h){for(o=e;o&lt;s.length;o++)c[o]=3|c[o];for(o=e;o&lt;s.length;o++)u[s[o][r]]--;s.splice(e</t>
  </si>
  <si>
    <t>delete u[t]}else n(i</t>
  </si>
  <si>
    <t>a).set(null)</t>
  </si>
  <si>
    <t>c[e]=6|c[e];return f}</t>
  </si>
  <si>
    <t>constructUpdate:function(){for(var t</t>
  </si>
  <si>
    <t>o={}</t>
  </si>
  <si>
    <t>l=Object.keys(c)</t>
  </si>
  <si>
    <t>u=0;u&lt;l.length;u++)i=l[u]</t>
  </si>
  <si>
    <t>t=e+""[""+i+""]""</t>
  </si>
  <si>
    <t>s[i]?(1&amp;c[i]&amp;&amp;(o[t+"".""+r]=s[i][r])</t>
  </si>
  <si>
    <t>2&amp;c[i]&amp;&amp;(o[t+"".""+a]=h?4&amp;c[i]?null:s[i][a]:4&amp;c[i]?null:n(s[i]</t>
  </si>
  <si>
    <t>a).get())):o[t]=null;return o}};return f}}</t>
  </si>
  <si>
    <t>38514:function(t</t>
  </si>
  <si>
    <t>r){""use strict"";var n=r(33626);t.exports=function(t</t>
  </si>
  <si>
    <t>e){for(var r=t._context.locale</t>
  </si>
  <si>
    <t>i=0;i&lt;2;i++){for(var a=t._context.locales</t>
  </si>
  <si>
    <t>o=0;o&lt;2;o++){var s=(a[r]||{}).dictionary;if(s){var l=s[e];if(l)return l}a=n.localeRegistry}var c=r.split(""-"")[0];if(c===r)break;r=c}return e}}</t>
  </si>
  <si>
    <t>48636:function(t</t>
  </si>
  <si>
    <t>r){""use strict"";var n=r(24452).dfltConfig</t>
  </si>
  <si>
    <t>i=r(87355)</t>
  </si>
  <si>
    <t>a=t.exports={};a.log=function(){var t;if(n.logging&gt;1){var e=[""LOG:""];for(t=0;t&lt;arguments.length;t++)e.push(arguments[t]);console.trace.apply(console</t>
  </si>
  <si>
    <t>e)}if(n.notifyOnLogging&gt;1){var r=[];for(t=0;t&lt;arguments.length;t++)r.push(arguments[t]);i(r.join(""&lt;br&gt;"")</t>
  </si>
  <si>
    <t>long"")}}</t>
  </si>
  <si>
    <t>a.warn=function(){var t;if(n.logging&gt;0){var e=[""WARN:""];for(t=0;t&lt;arguments.length;t++)e.push(arguments[t]);console.trace.apply(console</t>
  </si>
  <si>
    <t>e)}if(n.notifyOnLogging&gt;0){var r=[];for(t=0;t&lt;arguments.length;t++)r.push(arguments[t]);i(r.join(""&lt;br&gt;"")</t>
  </si>
  <si>
    <t>stick"")}}</t>
  </si>
  <si>
    <t>a.error=function(){var t;if(n.logging&gt;0){var e=[""ERROR:""];for(t=0;t&lt;arguments.length;t++)e.push(arguments[t]);console.error.apply(console</t>
  </si>
  <si>
    <t>stick"")}}}</t>
  </si>
  <si>
    <t>75944:function(t</t>
  </si>
  <si>
    <t>r){""use strict"";var n=r(45568);t.exports=function(t</t>
  </si>
  <si>
    <t>r){var i=t.selectAll(""g.""+r.replace(/\s/g</t>
  </si>
  <si>
    <t>."")).data(e</t>
  </si>
  <si>
    <t>(function(t){return t[0].trace.uid}));i.exit().remove()</t>
  </si>
  <si>
    <t>i.enter().append(""g"").attr(""class""</t>
  </si>
  <si>
    <t>i.order();var a=t.classed(""rangeplot"")?""nodeRangePlot3"":""node3"";return i.each((function(t){t[0][a]=n.select(this)}))</t>
  </si>
  <si>
    <t>15236:function(t</t>
  </si>
  <si>
    <t>r){""use strict"";var n=r(11191);e.init2dArray=function(t</t>
  </si>
  <si>
    <t>e){for(var r=new Array(t)</t>
  </si>
  <si>
    <t>n=0;n&lt;t;n++)r[n]=new Array(e);return r}</t>
  </si>
  <si>
    <t>e.transposeRagged=function(t){var e</t>
  </si>
  <si>
    <t>i=t.length;for(e=0;e&lt;i;e++)n=Math.max(n</t>
  </si>
  <si>
    <t>t[e].length);var a=new Array(n);for(e=0;e&lt;n;e++)for(a[e]=new Array(i)</t>
  </si>
  <si>
    <t>r=0;r&lt;i;r++)a[e][r]=t[r][e];return a}</t>
  </si>
  <si>
    <t>e.dot=function(t</t>
  </si>
  <si>
    <t>r){if(!t.length||!r.length||t.length!==r.length)return null;var n</t>
  </si>
  <si>
    <t>a=t.length;if(t[0].length)for(n=new Array(a)</t>
  </si>
  <si>
    <t>i=0;i&lt;a;i++)n[i]=e.dot(t[i]</t>
  </si>
  <si>
    <t>r);else if(r[0].length){var o=e.transposeRagged(r);for(n=new Array(o.length)</t>
  </si>
  <si>
    <t>i=0;i&lt;o.length;i++)n[i]=e.dot(t</t>
  </si>
  <si>
    <t>o[i])}else for(n=0</t>
  </si>
  <si>
    <t>i=0;i&lt;a;i++)n+=t[i]*r[i];return n}</t>
  </si>
  <si>
    <t>e.translationMatrix=function(t</t>
  </si>
  <si>
    <t>e){return[[1</t>
  </si>
  <si>
    <t>t]</t>
  </si>
  <si>
    <t>e]</t>
  </si>
  <si>
    <t>1]]}</t>
  </si>
  <si>
    <t>e.rotationMatrix=function(t){var e=t*Math.PI/180;return[[Math.cos(e)</t>
  </si>
  <si>
    <t>[Math.sin(e)</t>
  </si>
  <si>
    <t>Math.cos(e)</t>
  </si>
  <si>
    <t>e.rotationXYMatrix=function(t</t>
  </si>
  <si>
    <t>n){return e.dot(e.dot(e.translationMatrix(r</t>
  </si>
  <si>
    <t>e.rotationMatrix(t))</t>
  </si>
  <si>
    <t>e.translationMatrix(-r</t>
  </si>
  <si>
    <t>-n))}</t>
  </si>
  <si>
    <t>e.apply3DTransform=function(t){return function(){var r=arguments</t>
  </si>
  <si>
    <t>n=1===arguments.length?r[0]:[r[0]</t>
  </si>
  <si>
    <t>r[1]</t>
  </si>
  <si>
    <t>r[2]||0];return e.dot(t</t>
  </si>
  <si>
    <t>[n[0]</t>
  </si>
  <si>
    <t>n[2]</t>
  </si>
  <si>
    <t>1]).slice(0</t>
  </si>
  <si>
    <t>3)}}</t>
  </si>
  <si>
    <t>e.apply2DTransform=function(t){return function(){var r=arguments;3===r.length&amp;&amp;(r=r[0]);var n=1===arguments.length?r[0]:[r[0]</t>
  </si>
  <si>
    <t>r[1]];return e.dot(t</t>
  </si>
  <si>
    <t>2)}}</t>
  </si>
  <si>
    <t>e.apply2DTransform2=function(t){var r=e.apply2DTransform(t);return function(t){return r(t.slice(0</t>
  </si>
  <si>
    <t>2)).concat(r(t.slice(2</t>
  </si>
  <si>
    <t>4)))}}</t>
  </si>
  <si>
    <t>e.convertCssMatrix=function(t){if(t){var e=t.length;if(16===e)return t;if(6===e)return[t[0]</t>
  </si>
  <si>
    <t>t[2]</t>
  </si>
  <si>
    <t>t[3]</t>
  </si>
  <si>
    <t>t[4]</t>
  </si>
  <si>
    <t>t[5]</t>
  </si>
  <si>
    <t>1]}return[1</t>
  </si>
  <si>
    <t>1]}</t>
  </si>
  <si>
    <t>e.inverseTransformMatrix=function(t){var e=[];return n.invert(e</t>
  </si>
  <si>
    <t>[[e[0]</t>
  </si>
  <si>
    <t>e[1]</t>
  </si>
  <si>
    <t>e[2]</t>
  </si>
  <si>
    <t>e[3]]</t>
  </si>
  <si>
    <t>[e[4]</t>
  </si>
  <si>
    <t>e[5]</t>
  </si>
  <si>
    <t>e[6]</t>
  </si>
  <si>
    <t>e[7]]</t>
  </si>
  <si>
    <t>[e[8]</t>
  </si>
  <si>
    <t>e[9]</t>
  </si>
  <si>
    <t>e[10]</t>
  </si>
  <si>
    <t>e[11]]</t>
  </si>
  <si>
    <t>[e[12]</t>
  </si>
  <si>
    <t>e[13]</t>
  </si>
  <si>
    <t>e[14]</t>
  </si>
  <si>
    <t>e[15]]]}}</t>
  </si>
  <si>
    <t>98953:function(t){""use strict"";t.exports={mod:function(t</t>
  </si>
  <si>
    <t>e){var r=t%e;return r&lt;0?r+e:r}</t>
  </si>
  <si>
    <t>modHalf:function(t</t>
  </si>
  <si>
    <t>e){return Math.abs(t)&gt;e/2?t-Math.round(t/e)*e:t}}}</t>
  </si>
  <si>
    <t>35632:function(t</t>
  </si>
  <si>
    <t>i=r(87800).isArrayOrTypedArray;function a(t</t>
  </si>
  <si>
    <t>e){return function(){var r</t>
  </si>
  <si>
    <t>c=t;for(s=0;s&lt;e.length-1;s++){if(-1===(r=e[s])){for(n=!0</t>
  </si>
  <si>
    <t>l=0;l&lt;c.length;l++)o[l]=a(c[l]</t>
  </si>
  <si>
    <t>e.slice(s+1))()</t>
  </si>
  <si>
    <t>o[l]!==o[0]&amp;&amp;(n=!1);return n?o[0]:o}if(""number""==typeof r&amp;&amp;!i(c))return;if(""object""!=typeof(c=c[r])||null===c)return}if(""object""==typeof c&amp;&amp;null!==c&amp;&amp;null!==(o=c[e[s]]))return o}}t.exports=function(t</t>
  </si>
  <si>
    <t>e){if(n(e))e=String(e);else if(""string""!=typeof e||""[-1]""===e.substr(e.length-4))throw""bad property string"";var r</t>
  </si>
  <si>
    <t>c=e.split(""."");for(s=0;s&lt;c.length;s++)if(""__""===String(c[s]).slice(0</t>
  </si>
  <si>
    <t>2))throw""bad property string"";for(s=0;s&lt;c.length;){if(r=String(c[s]).match(/^([^\[\]]*)((\[\-?[0-9]*\])+)$/)){if(r[1])c[s]=r[1];else{if(0!==s)throw""bad property string"";c.splice(0</t>
  </si>
  <si>
    <t>1)}for(i=r[2].substr(1</t>
  </si>
  <si>
    <t>r[2].length-2).split(""]["")</t>
  </si>
  <si>
    <t>o=0;o&lt;i.length;o++)s++</t>
  </si>
  <si>
    <t>c.splice(s</t>
  </si>
  <si>
    <t>Number(i[o]))}s++}return""object""!=typeof t?function(t</t>
  </si>
  <si>
    <t>r){return{set:function(){throw""bad container""}</t>
  </si>
  <si>
    <t>get:function(){}</t>
  </si>
  <si>
    <t>astr:e</t>
  </si>
  <si>
    <t>parts:r</t>
  </si>
  <si>
    <t>obj:t}}(t</t>
  </si>
  <si>
    <t>c):{set:l(t</t>
  </si>
  <si>
    <t>get:a(t</t>
  </si>
  <si>
    <t>parts:c</t>
  </si>
  <si>
    <t>obj:t}};var o=/(^|\.)args\[/;function s(t</t>
  </si>
  <si>
    <t>e){return void 0===t||null===t&amp;&amp;!e.match(o)}function l(t</t>
  </si>
  <si>
    <t>r){return function(n){var a</t>
  </si>
  <si>
    <t>f=""""</t>
  </si>
  <si>
    <t>p=[[t</t>
  </si>
  <si>
    <t>f]]</t>
  </si>
  <si>
    <t>d=s(n</t>
  </si>
  <si>
    <t>r);for(o=0;o&lt;e.length-1;o++){if(""number""==typeof(a=e[o])&amp;&amp;!i(l))throw""array index but container is not an array"";if(-1===a){if(d=!u(l</t>
  </si>
  <si>
    <t>e.slice(o+1)</t>
  </si>
  <si>
    <t>r))break;return}if(!h(l</t>
  </si>
  <si>
    <t>e[o+1]</t>
  </si>
  <si>
    <t>d))break;if(""object""!=typeof(l=l[a])||null===l)throw""container is not an object"";f=c(f</t>
  </si>
  <si>
    <t>p.push([l</t>
  </si>
  <si>
    <t>f])}if(d){if(o===e.length-1&amp;&amp;(delete l[e[o]]</t>
  </si>
  <si>
    <t>Array.isArray(l)&amp;&amp;+e[o]==l.length-1))for(;l.length&amp;&amp;void 0===l[l.length-1];)l.pop()}else l[e[o]]=n}}function c(t</t>
  </si>
  <si>
    <t>e){var r=e;return n(e)?r=""[""+e+""]"":t&amp;&amp;(r="".""+e)</t>
  </si>
  <si>
    <t>t+r}function u(t</t>
  </si>
  <si>
    <t>n){var a</t>
  </si>
  <si>
    <t>o=i(r)</t>
  </si>
  <si>
    <t>c=!0</t>
  </si>
  <si>
    <t>u=r</t>
  </si>
  <si>
    <t>f=n.replace(""-1""</t>
  </si>
  <si>
    <t>p=!o&amp;&amp;s(r</t>
  </si>
  <si>
    <t>d=e[0];for(a=0;a&lt;t.length;a++)f=n.replace(""-1""</t>
  </si>
  <si>
    <t>o&amp;&amp;(p=s(u=r[a%r.length]</t>
  </si>
  <si>
    <t>f))</t>
  </si>
  <si>
    <t>p&amp;&amp;(c=!1)</t>
  </si>
  <si>
    <t>p)&amp;&amp;l(t[a]</t>
  </si>
  <si>
    <t>n.replace(""-1""</t>
  </si>
  <si>
    <t>a))(u);return c}function h(t</t>
  </si>
  <si>
    <t>n){if(void 0===t[e]){if(n)return!1;t[e]=""number""==typeof r?[]:{}}return!0}}</t>
  </si>
  <si>
    <t>4969:function(t){""use strict"";t.exports=function(){}}</t>
  </si>
  <si>
    <t>87355:function(t</t>
  </si>
  <si>
    <t>a=[];t.exports=function(t</t>
  </si>
  <si>
    <t>e){if(-1===a.indexOf(t)){a.push(t);var r=1e3;i(e)?r=e:""long""===e&amp;&amp;(r=3e3);var o=n.select(""body"").selectAll("".plotly-notifier"").data([0]);o.enter().append(""div"").classed(""plotly-notifier""</t>
  </si>
  <si>
    <t>o.selectAll("".notifier-note"").data(a).enter().append(""div"").classed(""notifier-note""</t>
  </si>
  <si>
    <t>!0).style(""opacity""</t>
  </si>
  <si>
    <t>0).each((function(t){var i=n.select(this);i.append(""button"").classed(""notifier-close""</t>
  </si>
  <si>
    <t>!0).html(""&amp;times;"").on(""click""</t>
  </si>
  <si>
    <t>(function(){i.transition().call(s)}));for(var a=i.append(""p"")</t>
  </si>
  <si>
    <t>o=t.split(/&lt;br\s*\/?&gt;/g)</t>
  </si>
  <si>
    <t>l=0;l&lt;o.length;l++)l&amp;&amp;a.append(""br"")</t>
  </si>
  <si>
    <t>a.append(""span"").text(o[l]);""stick""===e?i.transition().duration(350).style(""opacity""</t>
  </si>
  <si>
    <t>1):i.transition().duration(700).style(""opacity""</t>
  </si>
  <si>
    <t>1).transition().delay(r).call(s)}))}function s(t){t.duration(700).style(""opacity""</t>
  </si>
  <si>
    <t>0).each(""end""</t>
  </si>
  <si>
    <t>(function(t){var e=a.indexOf(t);-1!==e&amp;&amp;a.splice(e</t>
  </si>
  <si>
    <t>n.select(this).remove()}))}}}</t>
  </si>
  <si>
    <t>93134:function(t</t>
  </si>
  <si>
    <t>r){""use strict"";var n=r(27983)</t>
  </si>
  <si>
    <t>i=""data-savedcursor"";t.exports=function(t</t>
  </si>
  <si>
    <t>e){var r=t.attr(i);if(e){if(!r){for(var a=(t.attr(""class"")||"""").split("" "")</t>
  </si>
  <si>
    <t>o=0;o&lt;a.length;o++){var s=a[o];0===s.indexOf(""cursor-"")&amp;&amp;t.attr(i</t>
  </si>
  <si>
    <t>s.substr(7)).classed(s</t>
  </si>
  <si>
    <t>!1)}t.attr(i)||t.attr(i</t>
  </si>
  <si>
    <t>!!"")}n(t</t>
  </si>
  <si>
    <t>e)}else r&amp;&amp;(t.attr(i</t>
  </si>
  <si>
    <t>!!""===r?n(t):n(t</t>
  </si>
  <si>
    <t>80899:function(t</t>
  </si>
  <si>
    <t>r){""use strict"";var n=r(15236).dot</t>
  </si>
  <si>
    <t>a=t.exports={};a.tester=function(t){var e</t>
  </si>
  <si>
    <t>r=t.slice()</t>
  </si>
  <si>
    <t>n=r[0][0]</t>
  </si>
  <si>
    <t>a=n</t>
  </si>
  <si>
    <t>o=r[0][1]</t>
  </si>
  <si>
    <t>s=o;for(r[r.length-1][0]===r[0][0]&amp;&amp;r[r.length-1][1]===r[0][1]||r.push(r[0])</t>
  </si>
  <si>
    <t>e=1;e&lt;r.length;e++)n=Math.min(n</t>
  </si>
  <si>
    <t>r[e][0])</t>
  </si>
  <si>
    <t>o=Math.min(o</t>
  </si>
  <si>
    <t>r[e][1])</t>
  </si>
  <si>
    <t>r[e][1]);var l</t>
  </si>
  <si>
    <t>c=!1;5===r.length&amp;&amp;(r[0][0]===r[1][0]?r[2][0]===r[3][0]&amp;&amp;r[0][1]===r[3][1]&amp;&amp;r[1][1]===r[2][1]&amp;&amp;(c=!0</t>
  </si>
  <si>
    <t>l=function(t){return t[0]===r[0][0]}):r[0][1]===r[1][1]&amp;&amp;r[2][1]===r[3][1]&amp;&amp;r[0][0]===r[3][0]&amp;&amp;r[1][0]===r[2][0]&amp;&amp;(c=!0</t>
  </si>
  <si>
    <t>l=function(t){return t[1]===r[0][1]}));var u=!0</t>
  </si>
  <si>
    <t>h=r[0];for(e=1;e&lt;r.length;e++)if(h[0]!==r[e][0]||h[1]!==r[e][1]){u=!1;break}return{xmin:n</t>
  </si>
  <si>
    <t>xmax:a</t>
  </si>
  <si>
    <t>ymin:o</t>
  </si>
  <si>
    <t>ymax:s</t>
  </si>
  <si>
    <t>pts:r</t>
  </si>
  <si>
    <t>contains:c?function(t</t>
  </si>
  <si>
    <t>e){var r=t[0]</t>
  </si>
  <si>
    <t>c=t[1];return!(r===i||r&lt;n||r&gt;a||c===i||c&lt;o||c&gt;s||e&amp;&amp;l(t))}:function(t</t>
  </si>
  <si>
    <t>e){var l=t[0]</t>
  </si>
  <si>
    <t>c=t[1];if(l===i||l&lt;n||l&gt;a||c===i||c&lt;o||c&gt;s)return!1;var u</t>
  </si>
  <si>
    <t>m=r.length</t>
  </si>
  <si>
    <t>g=r[0][0]</t>
  </si>
  <si>
    <t>y=r[0][1]</t>
  </si>
  <si>
    <t>v=0;for(u=1;u&lt;m;u++)if(h=g</t>
  </si>
  <si>
    <t>f=y</t>
  </si>
  <si>
    <t>g=r[u][0]</t>
  </si>
  <si>
    <t>y=r[u][1]</t>
  </si>
  <si>
    <t>!(l&lt;(p=Math.min(h</t>
  </si>
  <si>
    <t>g))||l&gt;Math.max(h</t>
  </si>
  <si>
    <t>g)||c&gt;Math.max(f</t>
  </si>
  <si>
    <t>y)))if(c&lt;Math.min(f</t>
  </si>
  <si>
    <t>y))l!==p&amp;&amp;v++;else{if(c===(d=g===h?c:f+(l-h)*(y-f)/(g-h)))return 1!==u||!e;c&lt;=d&amp;&amp;l!==p&amp;&amp;v++}return v%2==1}</t>
  </si>
  <si>
    <t>isRect:c</t>
  </si>
  <si>
    <t>degenerate:u}}</t>
  </si>
  <si>
    <t>a.isSegmentBent=function(t</t>
  </si>
  <si>
    <t>l=t[e]</t>
  </si>
  <si>
    <t>c=[t[r][0]-l[0]</t>
  </si>
  <si>
    <t>t[r][1]-l[1]]</t>
  </si>
  <si>
    <t>u=n(c</t>
  </si>
  <si>
    <t>h=Math.sqrt(u)</t>
  </si>
  <si>
    <t>f=[-c[1]/h</t>
  </si>
  <si>
    <t>c[0]/h];for(a=e+1;a&lt;r;a++)if(o=[t[a][0]-l[0]</t>
  </si>
  <si>
    <t>t[a][1]-l[1]]</t>
  </si>
  <si>
    <t>(s=n(o</t>
  </si>
  <si>
    <t>c))&lt;0||s&gt;u||Math.abs(n(o</t>
  </si>
  <si>
    <t>f))&gt;i)return!0;return!1}</t>
  </si>
  <si>
    <t>a.filter=function(t</t>
  </si>
  <si>
    <t>e){var r=[t[0]]</t>
  </si>
  <si>
    <t>i=0;function o(o){t.push(o);var s=r.length</t>
  </si>
  <si>
    <t>l=n;r.splice(i+1);for(var c=l+1;c&lt;t.length;c++)(c===t.length-1||a.isSegmentBent(t</t>
  </si>
  <si>
    <t>c+1</t>
  </si>
  <si>
    <t>e))&amp;&amp;(r.push(t[c])</t>
  </si>
  <si>
    <t>r.length&lt;s-2&amp;&amp;(n=c</t>
  </si>
  <si>
    <t>i=r.length-1)</t>
  </si>
  <si>
    <t>l=c)}return t.length&gt;1&amp;&amp;o(t.pop())</t>
  </si>
  <si>
    <t>{addPt:o</t>
  </si>
  <si>
    <t>raw:t</t>
  </si>
  <si>
    <t>filtered:r}}}</t>
  </si>
  <si>
    <t>22459:function(t</t>
  </si>
  <si>
    <t>r){""use strict"";var n=r(97464)</t>
  </si>
  <si>
    <t>i=r(81330);t.exports=function(t</t>
  </si>
  <si>
    <t>a){var o=t._fullLayout</t>
  </si>
  <si>
    <t>s=!0;return o._glcanvas.each((function(n){if(n.regl)n.regl.preloadCachedCode(a);else if(!n.pick||o._has(""parcoords"")){try{n.regl=i({canvas:this</t>
  </si>
  <si>
    <t>attributes:{antialias:!n.pick</t>
  </si>
  <si>
    <t>preserveDrawingBuffer:!0}</t>
  </si>
  <si>
    <t>pixelRatio:t._context.plotGlPixelRatio||r.g.devicePixelRatio</t>
  </si>
  <si>
    <t>extensions:e||[]</t>
  </si>
  <si>
    <t>cachedCode:a||{}})}catch(t){s=!1}n.regl||(s=!1)</t>
  </si>
  <si>
    <t>s&amp;&amp;this.addEventListener(""webglcontextlost""</t>
  </si>
  <si>
    <t>(function(e){t&amp;&amp;t.emit&amp;&amp;t.emit(""plotly_webglcontextlost""</t>
  </si>
  <si>
    <t>layer:n.key})})</t>
  </si>
  <si>
    <t>!1)}}))</t>
  </si>
  <si>
    <t>s||n({container:o._glcontainer.node()})</t>
  </si>
  <si>
    <t>s}}</t>
  </si>
  <si>
    <t>32521:function(t</t>
  </si>
  <si>
    <t>i=r(13087);t.exports=function(t){var e;if(""string""!=typeof(e=t&amp;&amp;t.hasOwnProperty(""userAgent"")?t.userAgent:function(){var t;return""undefined""!=typeof navigator&amp;&amp;(t=navigator.userAgent)</t>
  </si>
  <si>
    <t>t&amp;&amp;t.headers&amp;&amp;""string""==typeof t.headers[""user-agent""]&amp;&amp;(t=t.headers[""user-agent""])</t>
  </si>
  <si>
    <t>t}()))return!0;var r=i({ua:{headers:{""user-agent"":e}}</t>
  </si>
  <si>
    <t>tablet:!0</t>
  </si>
  <si>
    <t>featureDetect:!1});if(!r)for(var a=e.split("" "")</t>
  </si>
  <si>
    <t>o=1;o&lt;a.length;o++)if(-1!==a[o].indexOf(""Safari""))for(var s=o-1;s&gt;-1;s--){var l=a[s];if(""Version/""===l.substr(0</t>
  </si>
  <si>
    <t>8)){var c=l.substr(8).split(""."")[0];if(n(c)&amp;&amp;(c=+c)</t>
  </si>
  <si>
    <t>c&gt;=13)return!0}}return r}}</t>
  </si>
  <si>
    <t>36539:function(t){""use strict"";t.exports=function(t</t>
  </si>
  <si>
    <t>e){if(e instanceof RegExp){for(var r=e.toString()</t>
  </si>
  <si>
    <t>n=0;n&lt;t.length;n++)if(t[n]instanceof RegExp&amp;&amp;t[n].toString()===r)return t;t.push(e)}else!e&amp;&amp;0!==e||-1!==t.indexOf(e)||t.push(e);return t}}</t>
  </si>
  <si>
    <t>40486:function(t</t>
  </si>
  <si>
    <t>i=r(24452).dfltConfig</t>
  </si>
  <si>
    <t>a={add:function(t</t>
  </si>
  <si>
    <t>s;t.undoQueue=t.undoQueue||{index:0</t>
  </si>
  <si>
    <t>queue:[]</t>
  </si>
  <si>
    <t>sequence:!1}</t>
  </si>
  <si>
    <t>s=t.undoQueue.index</t>
  </si>
  <si>
    <t>t.autoplay?t.undoQueue.inSequence||(t.autoplay=!1):(!t.undoQueue.sequence||t.undoQueue.beginSequence?(o={undo:{calls:[]</t>
  </si>
  <si>
    <t>args:[]}</t>
  </si>
  <si>
    <t>redo:{calls:[]</t>
  </si>
  <si>
    <t>args:[]}}</t>
  </si>
  <si>
    <t>t.undoQueue.queue.splice(s</t>
  </si>
  <si>
    <t>t.undoQueue.queue.length-s</t>
  </si>
  <si>
    <t>t.undoQueue.index+=1):o=t.undoQueue.queue[s-1]</t>
  </si>
  <si>
    <t>t.undoQueue.beginSequence=!1</t>
  </si>
  <si>
    <t>o&amp;&amp;(o.undo.calls.unshift(e)</t>
  </si>
  <si>
    <t>o.undo.args.unshift(r)</t>
  </si>
  <si>
    <t>o.redo.calls.push(n)</t>
  </si>
  <si>
    <t>o.redo.args.push(a))</t>
  </si>
  <si>
    <t>t.undoQueue.queue.length&gt;i.queueLength&amp;&amp;(t.undoQueue.queue.shift()</t>
  </si>
  <si>
    <t>t.undoQueue.index--))}</t>
  </si>
  <si>
    <t>startSequence:function(t){t.undoQueue=t.undoQueue||{index:0</t>
  </si>
  <si>
    <t>t.undoQueue.sequence=!0</t>
  </si>
  <si>
    <t>t.undoQueue.beginSequence=!0}</t>
  </si>
  <si>
    <t>stopSequence:function(t){t.undoQueue=t.undoQueue||{index:0</t>
  </si>
  <si>
    <t>t.undoQueue.sequence=!1</t>
  </si>
  <si>
    <t>t.undoQueue.beginSequence=!1}</t>
  </si>
  <si>
    <t>undo:function(t){var e</t>
  </si>
  <si>
    <t>r;if(!(void 0===t.undoQueue||isNaN(t.undoQueue.index)||t.undoQueue.index&lt;=0)){for(t.undoQueue.index--</t>
  </si>
  <si>
    <t>e=t.undoQueue.queue[t.undoQueue.index]</t>
  </si>
  <si>
    <t>t.undoQueue.inSequence=!0</t>
  </si>
  <si>
    <t>r=0;r&lt;e.undo.calls.length;r++)a.plotDo(t</t>
  </si>
  <si>
    <t>e.undo.calls[r]</t>
  </si>
  <si>
    <t>e.undo.args[r]);t.undoQueue.inSequence=!1</t>
  </si>
  <si>
    <t>t.autoplay=!1}}</t>
  </si>
  <si>
    <t>redo:function(t){var e</t>
  </si>
  <si>
    <t>r;if(!(void 0===t.undoQueue||isNaN(t.undoQueue.index)||t.undoQueue.index&gt;=t.undoQueue.queue.length)){for(e=t.undoQueue.queue[t.undoQueue.index]</t>
  </si>
  <si>
    <t>r=0;r&lt;e.redo.calls.length;r++)a.plotDo(t</t>
  </si>
  <si>
    <t>e.redo.calls[r]</t>
  </si>
  <si>
    <t>e.redo.args[r]);t.undoQueue.inSequence=!1</t>
  </si>
  <si>
    <t>t.autoplay=!1</t>
  </si>
  <si>
    <t>t.undoQueue.index++}}</t>
  </si>
  <si>
    <t>plotDo:function(t</t>
  </si>
  <si>
    <t>r){t.autoplay=!0</t>
  </si>
  <si>
    <t>a=0;a&lt;e.length;a++)r=e[a]</t>
  </si>
  <si>
    <t>i[a]=r===t?r:""object""==typeof r?Array.isArray(r)?n.extendDeep([]</t>
  </si>
  <si>
    <t>r):n.extendDeepAll({}</t>
  </si>
  <si>
    <t>r):r;return i}(t</t>
  </si>
  <si>
    <t>e.apply(null</t>
  </si>
  <si>
    <t>r)}};t.exports=a}</t>
  </si>
  <si>
    <t>90694:function(t</t>
  </si>
  <si>
    <t>e){""use strict"";e.counter=function(t</t>
  </si>
  <si>
    <t>n){var i=(e||"""")+(r?"""":""$"")</t>
  </si>
  <si>
    <t>a=!1===n?"""":""^"";return""xy""===t?new RegExp(a+""x([2-9]|[1-9][0-9]+)?y([2-9]|[1-9][0-9]+)?""+i):new RegExp(a+t+""([2-9]|[1-9][0-9]+)?""+i)}}</t>
  </si>
  <si>
    <t>82047:function(t){""use strict"";var e=/^(.*)(\.[^\.\[\]]+|\[\d\])$/</t>
  </si>
  <si>
    <t>r=/^[^\.\[\]]+$/;t.exports=function(t</t>
  </si>
  <si>
    <t>n){for(;n;){var i=t.match(e);if(i)t=i[1];else{if(!t.match(r))throw new Error(""bad relativeAttr call:""+[t</t>
  </si>
  <si>
    <t>n]);t=""""}if(""^""!==n.charAt(0))break;n=n.slice(1)}return t&amp;&amp;""[""!==n.charAt(0)?t+"".""+n:t+n}}</t>
  </si>
  <si>
    <t>80428:function(t</t>
  </si>
  <si>
    <t>r){""use strict"";var n=r(87800).isArrayOrTypedArray</t>
  </si>
  <si>
    <t>i=r(56174);t.exports=function t(e</t>
  </si>
  <si>
    <t>r){for(var a in r){var o=r[a]</t>
  </si>
  <si>
    <t>s=e[a];if(s!==o)if(""_""===a.charAt(0)||""function""==typeof o){if(a in e)continue;e[a]=o}else if(n(o)&amp;&amp;n(s)&amp;&amp;i(o[0])){if(""customdata""===a||""ids""===a)continue;for(var l=Math.min(o.length</t>
  </si>
  <si>
    <t>s.length)</t>
  </si>
  <si>
    <t>c=0;c&lt;l;c++)s[c]!==o[c]&amp;&amp;i(o[c])&amp;&amp;i(s[c])&amp;&amp;t(s[c]</t>
  </si>
  <si>
    <t>o[c])}else i(o)&amp;&amp;i(s)&amp;&amp;(t(s</t>
  </si>
  <si>
    <t>Object.keys(s).length||delete e[a])}}}</t>
  </si>
  <si>
    <t>98813:function(t</t>
  </si>
  <si>
    <t>a=r(29527)</t>
  </si>
  <si>
    <t>o=r(63821).BADNUM</t>
  </si>
  <si>
    <t>s=1e-9;function l(t</t>
  </si>
  <si>
    <t>e){return t&lt;e}function c(t</t>
  </si>
  <si>
    <t>e){return t&lt;=e}function u(t</t>
  </si>
  <si>
    <t>e){return t&gt;e}function h(t</t>
  </si>
  <si>
    <t>e){return t&gt;=e}e.findBin=function(t</t>
  </si>
  <si>
    <t>r){if(n(e.start))return r?Math.ceil((t-e.start)/e.size-s)-1:Math.floor((t-e.start)/e.size+s);var a</t>
  </si>
  <si>
    <t>p=e.length</t>
  </si>
  <si>
    <t>m=p&gt;1?(e[p-1]-e[0])/(p-1):1;for(o=m&gt;=0?r?l:c:r?h:u</t>
  </si>
  <si>
    <t>t+=m*s*(r?-1:1)*(m&gt;=0?1:-1);f&lt;p&amp;&amp;d++&lt;100;)o(e[a=Math.floor((f+p)/2)]</t>
  </si>
  <si>
    <t>t)?f=a+1:p=a;return d&gt;90&amp;&amp;i.log(""Long binary search..."")</t>
  </si>
  <si>
    <t>f-1}</t>
  </si>
  <si>
    <t>e.sorterAsc=function(t</t>
  </si>
  <si>
    <t>e){return t-e}</t>
  </si>
  <si>
    <t>e.sorterDes=function(t</t>
  </si>
  <si>
    <t>e){return e-t}</t>
  </si>
  <si>
    <t>e.distinctVals=function(t){var r</t>
  </si>
  <si>
    <t>n=t.slice();for(n.sort(e.sorterAsc)</t>
  </si>
  <si>
    <t>r=n.length-1;r&gt;-1&amp;&amp;n[r]===o;r--);for(var i</t>
  </si>
  <si>
    <t>a=n[r]-n[0]||1</t>
  </si>
  <si>
    <t>s=a/(r||1)/1e4</t>
  </si>
  <si>
    <t>l=[]</t>
  </si>
  <si>
    <t>c=0;c&lt;=r;c++){var u=n[c]</t>
  </si>
  <si>
    <t>h=u-i;void 0===i?(l.push(u)</t>
  </si>
  <si>
    <t>i=u):h&gt;s&amp;&amp;(a=Math.min(a</t>
  </si>
  <si>
    <t>l.push(u)</t>
  </si>
  <si>
    <t>i=u)}return{vals:l</t>
  </si>
  <si>
    <t>minDiff:a}}</t>
  </si>
  <si>
    <t>e.roundUp=function(t</t>
  </si>
  <si>
    <t>a=e.length-1</t>
  </si>
  <si>
    <t>o=0</t>
  </si>
  <si>
    <t>s=r?0:1</t>
  </si>
  <si>
    <t>l=r?1:0</t>
  </si>
  <si>
    <t>c=r?Math.ceil:Math.floor;i&lt;a&amp;&amp;o++&lt;100;)e[n=c((i+a)/2)]&lt;=t?i=n+s:a=n-l;return e[i]}</t>
  </si>
  <si>
    <t>e.sort=function(t</t>
  </si>
  <si>
    <t>e){for(var r=0</t>
  </si>
  <si>
    <t>i=1;i&lt;t.length;i++){var a=e(t[i]</t>
  </si>
  <si>
    <t>t[i-1]);if(a&lt;0?r=1:a&gt;0&amp;&amp;(n=1)</t>
  </si>
  <si>
    <t>r&amp;&amp;n)return t.sort(e)}return n?t:t.reverse()}</t>
  </si>
  <si>
    <t>e.findIndexOfMin=function(t</t>
  </si>
  <si>
    <t>e){e=e||a;for(var r</t>
  </si>
  <si>
    <t>n=1/0</t>
  </si>
  <si>
    <t>i=0;i&lt;t.length;i++){var o=e(t[i]);o&lt;n&amp;&amp;(n=o</t>
  </si>
  <si>
    <t>r=i)}return r}}</t>
  </si>
  <si>
    <t>27983:function(t){""use strict"";t.exports=function(t</t>
  </si>
  <si>
    <t>e){(t.attr(""class"")||"""").split("" "").forEach((function(e){0===e.indexOf(""cursor-"")&amp;&amp;t.classed(e</t>
  </si>
  <si>
    <t>!1)}))</t>
  </si>
  <si>
    <t>e&amp;&amp;t.classed(""cursor-""+e</t>
  </si>
  <si>
    <t>97464:function(t</t>
  </si>
  <si>
    <t>i=function(){};t.exports=function(t){for(var e in t)""function""==typeof t[e]&amp;&amp;(t[e]=i);t.destroy=function(){t.container.parentNode.removeChild(t.container)};var r=document.createElement(""div"");r.className=""no-webgl""</t>
  </si>
  <si>
    <t>r.style.cursor=""pointer""</t>
  </si>
  <si>
    <t>r.style.fontSize=""24px""</t>
  </si>
  <si>
    <t>r.style.color=n.defaults[0]</t>
  </si>
  <si>
    <t>r.style.position=""absolute""</t>
  </si>
  <si>
    <t>r.style.left=r.style.top=""0px""</t>
  </si>
  <si>
    <t>r.style.width=r.style.height=""100%""</t>
  </si>
  <si>
    <t>r.style[""background-color""]=n.lightLine</t>
  </si>
  <si>
    <t>r.style[""z-index""]=30;var a=document.createElement(""p"");return a.textContent=""WebGL is not supported by your browser - visit https://get.webgl.org for more info""</t>
  </si>
  <si>
    <t>a.style.position=""relative""</t>
  </si>
  <si>
    <t>a.style.top=""50%""</t>
  </si>
  <si>
    <t>a.style.left=""50%""</t>
  </si>
  <si>
    <t>a.style.height=""30%""</t>
  </si>
  <si>
    <t>a.style.width=""50%""</t>
  </si>
  <si>
    <t>a.style.margin=""-15% 0 0 -25%""</t>
  </si>
  <si>
    <t>r.appendChild(a)</t>
  </si>
  <si>
    <t>t.container.appendChild(r)</t>
  </si>
  <si>
    <t>t.container.style.background=""#FFFFFF""</t>
  </si>
  <si>
    <t>t.container.onclick=function(){window.open(""https://get.webgl.org"")}</t>
  </si>
  <si>
    <t>!1}}</t>
  </si>
  <si>
    <t>62994:function(t){""use strict"";t.exports=function(t){return Object.keys(t).sort()}}</t>
  </si>
  <si>
    <t>89258:function(t</t>
  </si>
  <si>
    <t>i=r(87800).isArrayOrTypedArray;e.aggNums=function(t</t>
  </si>
  <si>
    <t>l;if((!o||o&gt;a.length)&amp;&amp;(o=a.length)</t>
  </si>
  <si>
    <t>n(r)||(r=!1)</t>
  </si>
  <si>
    <t>i(a[0])){for(l=new Array(o)</t>
  </si>
  <si>
    <t>s=0;s&lt;o;s++)l[s]=e.aggNums(t</t>
  </si>
  <si>
    <t>a[s]);a=l}for(s=0;s&lt;o;s++)n(r)?n(a[s])&amp;&amp;(r=t(+r</t>
  </si>
  <si>
    <t>+a[s])):r=a[s];return r}</t>
  </si>
  <si>
    <t>e.len=function(t){return e.aggNums((function(t){return t+1})</t>
  </si>
  <si>
    <t>e.mean=function(t</t>
  </si>
  <si>
    <t>r){return r||(r=e.len(t))</t>
  </si>
  <si>
    <t>e.aggNums((function(t</t>
  </si>
  <si>
    <t>e){return t+e})</t>
  </si>
  <si>
    <t>t)/r}</t>
  </si>
  <si>
    <t>e.geometricMean=function(t</t>
  </si>
  <si>
    <t>Math.pow(e.aggNums((function(t</t>
  </si>
  <si>
    <t>e){return t*e})</t>
  </si>
  <si>
    <t>1/r)}</t>
  </si>
  <si>
    <t>e.midRange=function(t){if(void 0!==t&amp;&amp;0!==t.length)return(e.aggNums(Math.max</t>
  </si>
  <si>
    <t>t)+e.aggNums(Math.min</t>
  </si>
  <si>
    <t>t))/2}</t>
  </si>
  <si>
    <t>e.variance=function(t</t>
  </si>
  <si>
    <t>i){return r||(r=e.len(t))</t>
  </si>
  <si>
    <t>n(i)||(i=e.mean(t</t>
  </si>
  <si>
    <t>e){return t+Math.pow(e-i</t>
  </si>
  <si>
    <t>2)})</t>
  </si>
  <si>
    <t>e.stdev=function(t</t>
  </si>
  <si>
    <t>n){return Math.sqrt(e.variance(t</t>
  </si>
  <si>
    <t>n))}</t>
  </si>
  <si>
    <t>e.median=function(t){var r=t.slice().sort();return e.interp(r</t>
  </si>
  <si>
    <t>.5)}</t>
  </si>
  <si>
    <t>e.interp=function(t</t>
  </si>
  <si>
    <t>e){if(!n(e))throw""n should be a finite number"";if((e=e*t.length-.5)&lt;0)return t[0];if(e&gt;t.length-1)return t[t.length-1];var r=e%1;return r*t[Math.ceil(e)]+(1-r)*t[Math.floor(e)]}}</t>
  </si>
  <si>
    <t>55010:function(t</t>
  </si>
  <si>
    <t>r){""use strict"";var n=r(162);t.exports=function(t){return t?n(t):[0</t>
  </si>
  <si>
    <t>1]}}</t>
  </si>
  <si>
    <t>95544:function(t</t>
  </si>
  <si>
    <t>r){""use strict"";var n=r(1837)</t>
  </si>
  <si>
    <t>o=null;t.exports=function(){if(null!==o)return o;o=!1;var t=a.isIE()||a.isSafari()||a.isIOS();if(window.navigator.userAgent&amp;&amp;!t){var e=Array.from(n.CSS_DECLARATIONS).reverse()</t>
  </si>
  <si>
    <t>r=window.CSS&amp;&amp;window.CSS.supports||window.supportsCSS;if(""function""==typeof r)o=e.some((function(t){return r.apply(null</t>
  </si>
  <si>
    <t>t)}));else{var s=i.tester.append(""image"").attr(""style""</t>
  </si>
  <si>
    <t>n.STYLE)</t>
  </si>
  <si>
    <t>l=window.getComputedStyle(s.node()).imageRendering;o=e.some((function(t){var e=t[1];return l===e||l===e.toLowerCase()}))</t>
  </si>
  <si>
    <t>s.remove()}}return o}}</t>
  </si>
  <si>
    <t>30635:function(t</t>
  </si>
  <si>
    <t>a=i.strTranslate</t>
  </si>
  <si>
    <t>o=r(62972)</t>
  </si>
  <si>
    <t>s=r(4530).LINE_SPACING</t>
  </si>
  <si>
    <t>l=/([^$]*)([$]+[^$]*[$]+)([^$]*)/;e.convertToTspans=function(t</t>
  </si>
  <si>
    <t>g){var S=t.text()</t>
  </si>
  <si>
    <t>E=!t.attr(""data-notex"")&amp;&amp;r&amp;&amp;r._context.typesetMath&amp;&amp;""undefined""!=typeof MathJax&amp;&amp;S.match(l)</t>
  </si>
  <si>
    <t>I=n.select(t.node().parentNode);if(!I.empty()){var P=t.attr(""class"")?t.attr(""class"").split("" "")[0]:""text"";return P+=""-math""</t>
  </si>
  <si>
    <t>I.selectAll(""svg.""+P).remove()</t>
  </si>
  <si>
    <t>I.selectAll(""g.""+P+""-group"").remove()</t>
  </si>
  <si>
    <t>null).attr({""data-unformatted"":S</t>
  </si>
  <si>
    <t>data-math"":""N""})</t>
  </si>
  <si>
    <t>E?(r&amp;&amp;r._promises||[]).push(new Promise((function(e){t.style(""display""</t>
  </si>
  <si>
    <t>none"");var r=parseInt(t.node().style.fontSize</t>
  </si>
  <si>
    <t>o={fontSize:r};!function(t</t>
  </si>
  <si>
    <t>f=parseInt((MathJax.version||"""").split(""."")[0]);if(2===f||3===f){var p=function(){var r=""math-output-""+i.randstr({}</t>
  </si>
  <si>
    <t>64)</t>
  </si>
  <si>
    <t>a=(l=n.select(""body"").append(""div"").attr({id:r}).style({visibility:""hidden""</t>
  </si>
  <si>
    <t>position:""absolute""</t>
  </si>
  <si>
    <t>font-size"":e.fontSize+""px""}).text(t.replace(c</t>
  </si>
  <si>
    <t>\\lt "").replace(u</t>
  </si>
  <si>
    <t>\\gt ""))).node();return 2===f?MathJax.Hub.Typeset(a):MathJax.typeset([a])}</t>
  </si>
  <si>
    <t>d=function(){var e=l.select(2===f?"".MathJax_SVG"":"".MathJax"")</t>
  </si>
  <si>
    <t>a=!e.empty()&amp;&amp;l.select(""svg"").node();if(a){var o</t>
  </si>
  <si>
    <t>s=a.getBoundingClientRect();o=2===f?n.select(""body"").select(""#MathJax_SVG_glyphs""):e.select(""defs"")</t>
  </si>
  <si>
    <t>r(e</t>
  </si>
  <si>
    <t>s)}else i.log(""There was an error in the tex syntax.""</t>
  </si>
  <si>
    <t>r();l.remove()};2===f?MathJax.Hub.Queue((function(){return o=i.extendDeepAll({}</t>
  </si>
  <si>
    <t>MathJax.Hub.config)</t>
  </si>
  <si>
    <t>s=MathJax.Hub.processSectionDelay</t>
  </si>
  <si>
    <t>void 0!==MathJax.Hub.processSectionDelay&amp;&amp;(MathJax.Hub.processSectionDelay=0)</t>
  </si>
  <si>
    <t>MathJax.Hub.Config({messageStyle:""none""</t>
  </si>
  <si>
    <t>tex2jax:{inlineMath:h}</t>
  </si>
  <si>
    <t>displayAlign:""left""})})</t>
  </si>
  <si>
    <t>(function(){if(""SVG""!==(a=MathJax.Hub.config.menuSettings.renderer))return MathJax.Hub.setRenderer(""SVG"")})</t>
  </si>
  <si>
    <t>(function(){if(""SVG""!==a)return MathJax.Hub.setRenderer(a)})</t>
  </si>
  <si>
    <t>(function(){return void 0!==s&amp;&amp;(MathJax.Hub.processSectionDelay=s)</t>
  </si>
  <si>
    <t>MathJax.Hub.Config(o)})):3===f&amp;&amp;(o=i.extendDeepAll({}</t>
  </si>
  <si>
    <t>MathJax.config)</t>
  </si>
  <si>
    <t>MathJax.config.tex||(MathJax.config.tex={})</t>
  </si>
  <si>
    <t>MathJax.config.tex.inlineMath=h</t>
  </si>
  <si>
    <t>svg""!==(a=MathJax.config.startup.output)&amp;&amp;(MathJax.config.startup.output=""svg"")</t>
  </si>
  <si>
    <t>MathJax.startup.defaultReady()</t>
  </si>
  <si>
    <t>MathJax.startup.promise.then((function(){p()</t>
  </si>
  <si>
    <t>d()</t>
  </si>
  <si>
    <t>svg""!==a&amp;&amp;(MathJax.config.startup.output=a)</t>
  </si>
  <si>
    <t>MathJax.config=o})))}else i.warn(""No MathJax version:""</t>
  </si>
  <si>
    <t>MathJax.version)}(E[2]</t>
  </si>
  <si>
    <t>o){I.selectAll(""svg.""+P).remove()</t>
  </si>
  <si>
    <t>I.selectAll(""g.""+P+""-group"").remove();var s=n&amp;&amp;n.select(""svg"");if(!s||!s.node())return z()</t>
  </si>
  <si>
    <t>void e();var l=I.append(""g"").classed(P+""-group""</t>
  </si>
  <si>
    <t>!0).attr({""pointer-events"":""none""</t>
  </si>
  <si>
    <t>data-unformatted"":S</t>
  </si>
  <si>
    <t>data-math"":""Y""});l.node().appendChild(s.node())</t>
  </si>
  <si>
    <t>i&amp;&amp;i.node()&amp;&amp;s.node().insertBefore(i.node().cloneNode(!0)</t>
  </si>
  <si>
    <t>s.node().firstChild);var c=o.width</t>
  </si>
  <si>
    <t>u=o.height;s.attr({class:P</t>
  </si>
  <si>
    <t>height:u</t>
  </si>
  <si>
    <t>preserveAspectRatio:""xMinYMin meet""}).style({overflow:""visible""</t>
  </si>
  <si>
    <t>pointer-events"":""none""});var h=t.node().style.fill||""black""</t>
  </si>
  <si>
    <t>f=s.select(""g"");f.attr({fill:h</t>
  </si>
  <si>
    <t>stroke:h});var p=f.node().getBoundingClientRect()</t>
  </si>
  <si>
    <t>d=p.width</t>
  </si>
  <si>
    <t>m=p.height;(d&gt;c||m&gt;u)&amp;&amp;(s.style(""overflow""</t>
  </si>
  <si>
    <t>hidden"")</t>
  </si>
  <si>
    <t>d=(p=s.node().getBoundingClientRect()).width</t>
  </si>
  <si>
    <t>m=p.height);var y=+t.attr(""x"")</t>
  </si>
  <si>
    <t>v=+t.attr(""y"")</t>
  </si>
  <si>
    <t>x=-(r||t.node().getBoundingClientRect().height)/4;if(""y""===P[0])l.attr({transform:""rotate(""+[-90</t>
  </si>
  <si>
    <t>v]+"")""+a(-d/2</t>
  </si>
  <si>
    <t>x-m/2)});else if(""l""===P[0])v=x-m/2;else if(""a""===P[0]&amp;&amp;0!==P.indexOf(""atitle""))y=0</t>
  </si>
  <si>
    <t>v=x;else{var _=t.attr(""text-anchor"");y-=d*(""middle""===_?.5:""end""===_?1:0)</t>
  </si>
  <si>
    <t>v=v+x-m/2}s.attr({x:y</t>
  </si>
  <si>
    <t>y:v})</t>
  </si>
  <si>
    <t>g&amp;&amp;g.call(t</t>
  </si>
  <si>
    <t>e(l)}))}))):z()</t>
  </si>
  <si>
    <t>t}function z(){I.empty()||(P=t.attr(""class"")+""-math""</t>
  </si>
  <si>
    <t>I.select(""svg.""+P).remove())</t>
  </si>
  <si>
    <t>t.text("""").style(""white-space""</t>
  </si>
  <si>
    <t>pre"");var r=function(t</t>
  </si>
  <si>
    <t>e){e=e.replace(y</t>
  </si>
  <si>
    <t xml:space="preserve"> "");var r</t>
  </si>
  <si>
    <t>a=!1</t>
  </si>
  <si>
    <t>c=-1;function u(){c++;var e=document.createElementNS(o.svg</t>
  </si>
  <si>
    <t>tspan"");n.select(e).attr({class:""line""</t>
  </si>
  <si>
    <t>dy:c*s+""em""})</t>
  </si>
  <si>
    <t>r=e;var i=l;if(l=[{node:e}]</t>
  </si>
  <si>
    <t>i.length&gt;1)for(var a=1;a&lt;i.length;a++)h(i[a])}function h(t){var e</t>
  </si>
  <si>
    <t>i=t.type</t>
  </si>
  <si>
    <t>a={};if(""a""===i){e=""a"";var s=t.target</t>
  </si>
  <si>
    <t>c=t.href</t>
  </si>
  <si>
    <t>u=t.popup;c&amp;&amp;(a={""xlink:xlink:show"":""_blank""===s||""_""!==s.charAt(0)?""new"":""replace""</t>
  </si>
  <si>
    <t>target:s</t>
  </si>
  <si>
    <t>xlink:xlink:href"":c}</t>
  </si>
  <si>
    <t>u&amp;&amp;(a.onclick='window.open(this.href.baseVal</t>
  </si>
  <si>
    <t>this.target.baseVal</t>
  </si>
  <si>
    <t>'+u+'"");return false;'))}else e=""tspan"";t.style&amp;&amp;(a.style=t.style);var h=document.createElementNS(o.svg</t>
  </si>
  <si>
    <t>e);if(""sup""===i||""sub""===i){g(r</t>
  </si>
  <si>
    <t>r.appendChild(h);var f=document.createElementNS(o.svg</t>
  </si>
  <si>
    <t>tspan"");g(f</t>
  </si>
  <si>
    <t>n.select(f).attr(""dy""</t>
  </si>
  <si>
    <t>d[i])</t>
  </si>
  <si>
    <t>a.dy=p[i]</t>
  </si>
  <si>
    <t>r.appendChild(h)</t>
  </si>
  <si>
    <t>r.appendChild(f)}else r.appendChild(h);n.select(h).attr(a)</t>
  </si>
  <si>
    <t>r=t.node=h</t>
  </si>
  <si>
    <t>l.push(t)}function g(t</t>
  </si>
  <si>
    <t>e){t.appendChild(document.createTextNode(e))}function S(t){if(1!==l.length){var n=l.pop();t!==n.type&amp;&amp;i.log(""Start tag &lt;""+n.type+""&gt; doesnt match end tag &lt;""+t+""&gt;. Pretending it did match.""</t>
  </si>
  <si>
    <t>r=l[l.length-1].node}else i.log(""Ignoring unexpected end tag &lt;/""+t+""&gt;.""</t>
  </si>
  <si>
    <t>e)}_.test(e)?u():(r=t</t>
  </si>
  <si>
    <t>l=[{node:t}]);for(var E=e.split(v)</t>
  </si>
  <si>
    <t>I=0;I&lt;E.length;I++){var P=E[I]</t>
  </si>
  <si>
    <t>z=P.match(x)</t>
  </si>
  <si>
    <t>O=z&amp;&amp;z[2].toLowerCase()</t>
  </si>
  <si>
    <t>D=f[O];if(""br""===O)u();else if(void 0===D)g(r</t>
  </si>
  <si>
    <t>C(P));else if(z[1])S(O);else{var R=z[4]</t>
  </si>
  <si>
    <t>F={type:O}</t>
  </si>
  <si>
    <t>B=A(R</t>
  </si>
  <si>
    <t>b);if(B?(B=B.replace(M</t>
  </si>
  <si>
    <t>$1 fill:"")</t>
  </si>
  <si>
    <t>D&amp;&amp;(B+="";""+D)):D&amp;&amp;(B=D)</t>
  </si>
  <si>
    <t>B&amp;&amp;(F.style=B)</t>
  </si>
  <si>
    <t>a""===O){a=!0;var N=A(R</t>
  </si>
  <si>
    <t>w);if(N){var j=L(N);j&amp;&amp;(F.href=j</t>
  </si>
  <si>
    <t>F.target=A(R</t>
  </si>
  <si>
    <t>T)||""_blank""</t>
  </si>
  <si>
    <t>F.popup=A(R</t>
  </si>
  <si>
    <t>k))}}h(F)}}return a}(t.node()</t>
  </si>
  <si>
    <t>S);r&amp;&amp;t.style(""pointer-events""</t>
  </si>
  <si>
    <t>e.positionText(t)</t>
  </si>
  <si>
    <t>g&amp;&amp;g.call(t)}};var c=/(&lt;|&amp;lt;|&amp;#60;)/g</t>
  </si>
  <si>
    <t>u=/(&gt;|&amp;gt;|&amp;#62;)/g</t>
  </si>
  <si>
    <t>h=[[""$""</t>
  </si>
  <si>
    <t>$""]</t>
  </si>
  <si>
    <t>[""\\(""</t>
  </si>
  <si>
    <t>\\)""]]</t>
  </si>
  <si>
    <t>f={sup:""font-size:70%""</t>
  </si>
  <si>
    <t>sub:""font-size:70%""</t>
  </si>
  <si>
    <t>s:""text-decoration:line-through""</t>
  </si>
  <si>
    <t>u:""text-decoration:underline""</t>
  </si>
  <si>
    <t>b:""font-weight:bold""</t>
  </si>
  <si>
    <t>i:""font-style:italic""</t>
  </si>
  <si>
    <t>a:""cursor:pointer""</t>
  </si>
  <si>
    <t>span:""""</t>
  </si>
  <si>
    <t>em:""font-style:italic;font-weight:bold""}</t>
  </si>
  <si>
    <t>p={sub:""0.3em""</t>
  </si>
  <si>
    <t>sup:""-0.6em""}</t>
  </si>
  <si>
    <t>d={sub:""-0.21em""</t>
  </si>
  <si>
    <t>sup:""0.42em""}</t>
  </si>
  <si>
    <t>m=""â€‹""</t>
  </si>
  <si>
    <t>g=[""http:""</t>
  </si>
  <si>
    <t>https:""</t>
  </si>
  <si>
    <t>mailto:""</t>
  </si>
  <si>
    <t>:""]</t>
  </si>
  <si>
    <t>&lt;/body&gt;</t>
  </si>
  <si>
    <t>&lt;/html&gt;"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</si>
</sst>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49DB6-1775-45F1-826F-21A921AA8C65}">
  <dimension ref="A1:XFD5"/>
  <sheetViews>
    <sheetView tabSelected="1" workbookViewId="0"/>
  </sheetViews>
  <sheetFormatPr defaultRowHeight="15" x14ac:dyDescent="0.25"/>
  <cols>
    <col min="1" max="1" width="9.85546875" bestFit="1" customWidth="1"/>
    <col min="2" max="2" width="19.5703125" bestFit="1" customWidth="1"/>
    <col min="3" max="3" width="23" bestFit="1" customWidth="1"/>
  </cols>
  <sheetData>
    <row r="1" spans="1:16384" x14ac:dyDescent="0.25">
      <c r="A1" t="s">
        <v>0</v>
      </c>
    </row>
    <row r="2" spans="1:16384" x14ac:dyDescent="0.25">
      <c r="A2" s="1" t="s">
        <v>1</v>
      </c>
    </row>
    <row r="3" spans="1:16384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18</v>
      </c>
      <c r="X3" t="s">
        <v>24</v>
      </c>
      <c r="Y3" t="s">
        <v>25</v>
      </c>
      <c r="Z3" t="s">
        <v>26</v>
      </c>
      <c r="AA3" t="s">
        <v>27</v>
      </c>
      <c r="AB3" t="s">
        <v>28</v>
      </c>
      <c r="AC3" t="s">
        <v>18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18</v>
      </c>
      <c r="AJ3" t="s">
        <v>34</v>
      </c>
      <c r="AK3" t="s">
        <v>27</v>
      </c>
      <c r="AL3" t="s">
        <v>35</v>
      </c>
      <c r="AM3" t="s">
        <v>27</v>
      </c>
      <c r="AN3" t="s">
        <v>36</v>
      </c>
      <c r="AO3" t="s">
        <v>37</v>
      </c>
      <c r="AP3" t="s">
        <v>38</v>
      </c>
      <c r="AQ3" t="s">
        <v>39</v>
      </c>
      <c r="AR3" t="s">
        <v>40</v>
      </c>
      <c r="AS3" t="s">
        <v>41</v>
      </c>
      <c r="AT3" t="s">
        <v>42</v>
      </c>
      <c r="AU3" t="s">
        <v>43</v>
      </c>
      <c r="AV3" t="s">
        <v>44</v>
      </c>
      <c r="AW3" t="s">
        <v>45</v>
      </c>
      <c r="AX3" t="s">
        <v>46</v>
      </c>
      <c r="AY3" t="s">
        <v>47</v>
      </c>
      <c r="AZ3" t="s">
        <v>48</v>
      </c>
      <c r="BA3" t="s">
        <v>49</v>
      </c>
      <c r="BB3" t="s">
        <v>50</v>
      </c>
      <c r="BC3" t="s">
        <v>51</v>
      </c>
      <c r="BD3" t="s">
        <v>52</v>
      </c>
      <c r="BE3" t="s">
        <v>53</v>
      </c>
      <c r="BF3" t="s">
        <v>54</v>
      </c>
      <c r="BG3" t="s">
        <v>55</v>
      </c>
      <c r="BH3" t="s">
        <v>56</v>
      </c>
      <c r="BI3" t="s">
        <v>57</v>
      </c>
      <c r="BJ3" t="s">
        <v>58</v>
      </c>
      <c r="BK3" t="s">
        <v>59</v>
      </c>
      <c r="BL3" t="s">
        <v>60</v>
      </c>
      <c r="BM3" t="s">
        <v>61</v>
      </c>
      <c r="BN3" t="s">
        <v>62</v>
      </c>
      <c r="BO3" t="s">
        <v>63</v>
      </c>
      <c r="BP3" t="s">
        <v>64</v>
      </c>
      <c r="BQ3" t="s">
        <v>65</v>
      </c>
      <c r="BR3" t="s">
        <v>66</v>
      </c>
      <c r="BS3" t="s">
        <v>67</v>
      </c>
      <c r="BT3" t="s">
        <v>68</v>
      </c>
      <c r="BU3" t="s">
        <v>69</v>
      </c>
      <c r="BV3" t="s">
        <v>70</v>
      </c>
      <c r="BW3" t="s">
        <v>71</v>
      </c>
      <c r="BX3" t="s">
        <v>72</v>
      </c>
      <c r="BY3" t="s">
        <v>73</v>
      </c>
      <c r="BZ3" t="s">
        <v>74</v>
      </c>
      <c r="CA3" t="s">
        <v>75</v>
      </c>
      <c r="CB3" t="s">
        <v>76</v>
      </c>
      <c r="CC3" t="s">
        <v>77</v>
      </c>
      <c r="CD3" t="s">
        <v>78</v>
      </c>
      <c r="CE3" t="s">
        <v>44</v>
      </c>
      <c r="CF3" t="s">
        <v>79</v>
      </c>
      <c r="CG3" t="s">
        <v>80</v>
      </c>
      <c r="CH3" t="s">
        <v>81</v>
      </c>
      <c r="CI3" t="s">
        <v>82</v>
      </c>
      <c r="CJ3" t="s">
        <v>83</v>
      </c>
      <c r="CK3" t="s">
        <v>84</v>
      </c>
      <c r="CL3" t="s">
        <v>85</v>
      </c>
      <c r="CM3" t="s">
        <v>86</v>
      </c>
      <c r="CN3" t="s">
        <v>87</v>
      </c>
      <c r="CO3" t="s">
        <v>88</v>
      </c>
      <c r="CP3" t="s">
        <v>89</v>
      </c>
      <c r="CQ3" t="s">
        <v>90</v>
      </c>
      <c r="CR3" t="s">
        <v>91</v>
      </c>
      <c r="CS3" t="s">
        <v>92</v>
      </c>
      <c r="CT3" t="s">
        <v>93</v>
      </c>
      <c r="CU3" t="s">
        <v>94</v>
      </c>
      <c r="CV3" t="s">
        <v>95</v>
      </c>
      <c r="CW3" t="s">
        <v>96</v>
      </c>
      <c r="CX3" t="s">
        <v>97</v>
      </c>
      <c r="CY3" t="s">
        <v>98</v>
      </c>
      <c r="CZ3" t="s">
        <v>99</v>
      </c>
      <c r="DA3" t="s">
        <v>100</v>
      </c>
      <c r="DB3" t="s">
        <v>101</v>
      </c>
      <c r="DC3" t="s">
        <v>102</v>
      </c>
      <c r="DD3" t="s">
        <v>103</v>
      </c>
      <c r="DE3" t="s">
        <v>104</v>
      </c>
      <c r="DF3" t="s">
        <v>105</v>
      </c>
      <c r="DG3" t="s">
        <v>106</v>
      </c>
      <c r="DH3" t="s">
        <v>107</v>
      </c>
      <c r="DI3" t="s">
        <v>108</v>
      </c>
      <c r="DJ3" t="s">
        <v>44</v>
      </c>
      <c r="DK3" t="s">
        <v>109</v>
      </c>
      <c r="DL3" t="s">
        <v>110</v>
      </c>
      <c r="DM3" t="s">
        <v>111</v>
      </c>
      <c r="DN3" t="s">
        <v>112</v>
      </c>
      <c r="DO3" t="s">
        <v>113</v>
      </c>
      <c r="DP3" t="s">
        <v>114</v>
      </c>
      <c r="DQ3" t="s">
        <v>44</v>
      </c>
      <c r="DR3" t="s">
        <v>115</v>
      </c>
      <c r="DS3" t="s">
        <v>116</v>
      </c>
      <c r="DT3" t="s">
        <v>117</v>
      </c>
      <c r="DU3" t="s">
        <v>118</v>
      </c>
      <c r="DV3" t="s">
        <v>119</v>
      </c>
      <c r="DW3" t="s">
        <v>120</v>
      </c>
      <c r="DX3" t="s">
        <v>121</v>
      </c>
      <c r="DY3" t="s">
        <v>122</v>
      </c>
      <c r="DZ3" t="s">
        <v>123</v>
      </c>
      <c r="EA3" t="s">
        <v>124</v>
      </c>
      <c r="EB3" t="s">
        <v>125</v>
      </c>
      <c r="EC3" t="s">
        <v>126</v>
      </c>
      <c r="ED3" t="s">
        <v>46</v>
      </c>
      <c r="EE3" t="s">
        <v>127</v>
      </c>
      <c r="EF3" t="s">
        <v>128</v>
      </c>
      <c r="EG3" t="s">
        <v>129</v>
      </c>
      <c r="EH3" t="s">
        <v>44</v>
      </c>
      <c r="EI3" t="s">
        <v>130</v>
      </c>
      <c r="EJ3" t="s">
        <v>131</v>
      </c>
      <c r="EK3" t="s">
        <v>132</v>
      </c>
      <c r="EL3" t="s">
        <v>133</v>
      </c>
      <c r="EM3" t="s">
        <v>134</v>
      </c>
      <c r="EN3" t="s">
        <v>135</v>
      </c>
      <c r="EO3" t="s">
        <v>136</v>
      </c>
      <c r="EP3" t="s">
        <v>137</v>
      </c>
      <c r="EQ3" t="s">
        <v>138</v>
      </c>
      <c r="ER3" t="s">
        <v>139</v>
      </c>
      <c r="ES3" t="s">
        <v>140</v>
      </c>
      <c r="ET3" t="s">
        <v>141</v>
      </c>
      <c r="EU3" t="s">
        <v>142</v>
      </c>
      <c r="EV3" t="s">
        <v>143</v>
      </c>
      <c r="EW3" t="s">
        <v>144</v>
      </c>
      <c r="EX3" t="s">
        <v>138</v>
      </c>
      <c r="EY3" t="s">
        <v>139</v>
      </c>
      <c r="EZ3" t="s">
        <v>145</v>
      </c>
      <c r="FA3" t="s">
        <v>146</v>
      </c>
      <c r="FB3" t="s">
        <v>142</v>
      </c>
      <c r="FC3" t="s">
        <v>147</v>
      </c>
      <c r="FD3" t="s">
        <v>148</v>
      </c>
      <c r="FE3" t="s">
        <v>149</v>
      </c>
      <c r="FF3" t="s">
        <v>150</v>
      </c>
      <c r="FG3" t="s">
        <v>151</v>
      </c>
      <c r="FH3" t="s">
        <v>152</v>
      </c>
      <c r="FI3" t="s">
        <v>153</v>
      </c>
      <c r="FJ3" t="s">
        <v>154</v>
      </c>
      <c r="FK3" t="s">
        <v>155</v>
      </c>
      <c r="FL3" t="s">
        <v>156</v>
      </c>
      <c r="FM3" t="s">
        <v>157</v>
      </c>
      <c r="FN3" t="s">
        <v>158</v>
      </c>
      <c r="FO3" t="s">
        <v>142</v>
      </c>
      <c r="FP3" t="s">
        <v>159</v>
      </c>
      <c r="FQ3" t="s">
        <v>160</v>
      </c>
      <c r="FR3" t="s">
        <v>161</v>
      </c>
      <c r="FS3" t="s">
        <v>150</v>
      </c>
      <c r="FT3" t="s">
        <v>151</v>
      </c>
      <c r="FU3" t="s">
        <v>152</v>
      </c>
      <c r="FV3" t="s">
        <v>153</v>
      </c>
      <c r="FW3" t="s">
        <v>162</v>
      </c>
      <c r="FX3" t="s">
        <v>163</v>
      </c>
      <c r="FY3" t="s">
        <v>164</v>
      </c>
      <c r="FZ3" t="s">
        <v>165</v>
      </c>
      <c r="GA3" t="s">
        <v>166</v>
      </c>
      <c r="GB3" t="s">
        <v>142</v>
      </c>
      <c r="GC3" t="s">
        <v>159</v>
      </c>
      <c r="GD3" t="s">
        <v>167</v>
      </c>
      <c r="GE3" t="s">
        <v>168</v>
      </c>
      <c r="GF3" t="s">
        <v>169</v>
      </c>
      <c r="GG3" t="s">
        <v>170</v>
      </c>
      <c r="GH3" t="s">
        <v>142</v>
      </c>
      <c r="GI3" t="s">
        <v>171</v>
      </c>
      <c r="GJ3" t="s">
        <v>172</v>
      </c>
      <c r="GK3" t="s">
        <v>173</v>
      </c>
      <c r="GL3">
        <v>0</v>
      </c>
      <c r="GM3">
        <v>0</v>
      </c>
      <c r="GN3" t="s">
        <v>174</v>
      </c>
      <c r="GO3" t="s">
        <v>175</v>
      </c>
      <c r="GP3" t="s">
        <v>176</v>
      </c>
      <c r="GQ3" t="s">
        <v>177</v>
      </c>
      <c r="GR3" t="s">
        <v>178</v>
      </c>
      <c r="GS3" t="s">
        <v>179</v>
      </c>
      <c r="GT3" t="s">
        <v>180</v>
      </c>
      <c r="GU3" t="s">
        <v>181</v>
      </c>
      <c r="GV3" t="s">
        <v>182</v>
      </c>
      <c r="GW3" t="s">
        <v>183</v>
      </c>
      <c r="GX3" t="s">
        <v>184</v>
      </c>
      <c r="GY3" t="s">
        <v>185</v>
      </c>
      <c r="GZ3" t="s">
        <v>186</v>
      </c>
      <c r="HA3" t="s">
        <v>187</v>
      </c>
      <c r="HB3" t="s">
        <v>188</v>
      </c>
      <c r="HC3" t="s">
        <v>189</v>
      </c>
      <c r="HD3" t="s">
        <v>190</v>
      </c>
      <c r="HE3" t="s">
        <v>191</v>
      </c>
      <c r="HF3" t="s">
        <v>192</v>
      </c>
      <c r="HG3" t="s">
        <v>193</v>
      </c>
      <c r="HH3" t="s">
        <v>194</v>
      </c>
      <c r="HI3" t="s">
        <v>195</v>
      </c>
      <c r="HJ3" t="s">
        <v>196</v>
      </c>
      <c r="HK3" t="s">
        <v>197</v>
      </c>
      <c r="HL3" t="s">
        <v>198</v>
      </c>
      <c r="HM3" t="s">
        <v>199</v>
      </c>
      <c r="HN3" t="s">
        <v>200</v>
      </c>
      <c r="HO3" t="s">
        <v>201</v>
      </c>
      <c r="HP3" t="s">
        <v>202</v>
      </c>
      <c r="HQ3" t="s">
        <v>203</v>
      </c>
      <c r="HR3" t="s">
        <v>204</v>
      </c>
      <c r="HS3" t="s">
        <v>205</v>
      </c>
      <c r="HT3" t="s">
        <v>206</v>
      </c>
      <c r="HU3" t="s">
        <v>207</v>
      </c>
      <c r="HV3" t="s">
        <v>208</v>
      </c>
      <c r="HW3" t="s">
        <v>209</v>
      </c>
      <c r="HX3" t="s">
        <v>210</v>
      </c>
      <c r="HY3" t="s">
        <v>211</v>
      </c>
      <c r="HZ3" t="s">
        <v>212</v>
      </c>
      <c r="IA3" t="s">
        <v>213</v>
      </c>
      <c r="IB3" t="s">
        <v>214</v>
      </c>
      <c r="IC3" t="s">
        <v>215</v>
      </c>
      <c r="ID3" t="s">
        <v>216</v>
      </c>
      <c r="IE3" t="s">
        <v>217</v>
      </c>
      <c r="IF3" t="s">
        <v>218</v>
      </c>
      <c r="IG3" t="s">
        <v>219</v>
      </c>
      <c r="IH3" t="s">
        <v>220</v>
      </c>
      <c r="II3" t="s">
        <v>221</v>
      </c>
      <c r="IJ3" t="s">
        <v>222</v>
      </c>
      <c r="IK3" t="s">
        <v>223</v>
      </c>
      <c r="IL3" t="s">
        <v>224</v>
      </c>
      <c r="IM3" t="s">
        <v>225</v>
      </c>
      <c r="IN3" t="s">
        <v>220</v>
      </c>
      <c r="IO3" t="s">
        <v>221</v>
      </c>
      <c r="IP3" t="s">
        <v>226</v>
      </c>
      <c r="IQ3" t="s">
        <v>227</v>
      </c>
      <c r="IR3" t="s">
        <v>228</v>
      </c>
      <c r="IS3" t="s">
        <v>229</v>
      </c>
      <c r="IT3" t="s">
        <v>230</v>
      </c>
      <c r="IU3" t="s">
        <v>231</v>
      </c>
      <c r="IV3" t="s">
        <v>232</v>
      </c>
      <c r="IW3" t="s">
        <v>233</v>
      </c>
      <c r="IX3" t="s">
        <v>234</v>
      </c>
      <c r="IY3" t="s">
        <v>235</v>
      </c>
      <c r="IZ3" t="s">
        <v>236</v>
      </c>
      <c r="JA3" t="s">
        <v>237</v>
      </c>
      <c r="JB3" t="s">
        <v>238</v>
      </c>
      <c r="JC3" t="s">
        <v>239</v>
      </c>
      <c r="JD3" t="s">
        <v>240</v>
      </c>
      <c r="JE3" t="s">
        <v>241</v>
      </c>
      <c r="JF3" t="s">
        <v>242</v>
      </c>
      <c r="JG3" t="s">
        <v>44</v>
      </c>
      <c r="JH3" t="s">
        <v>243</v>
      </c>
      <c r="JI3" t="s">
        <v>244</v>
      </c>
      <c r="JJ3" t="s">
        <v>245</v>
      </c>
      <c r="JK3" t="s">
        <v>246</v>
      </c>
      <c r="JL3" t="s">
        <v>247</v>
      </c>
      <c r="JM3" t="s">
        <v>248</v>
      </c>
      <c r="JN3" t="s">
        <v>249</v>
      </c>
      <c r="JO3" t="s">
        <v>44</v>
      </c>
      <c r="JP3" t="s">
        <v>250</v>
      </c>
      <c r="JQ3" t="s">
        <v>251</v>
      </c>
      <c r="JR3" t="s">
        <v>252</v>
      </c>
      <c r="JS3" t="s">
        <v>253</v>
      </c>
      <c r="JT3" t="s">
        <v>254</v>
      </c>
      <c r="JU3" t="s">
        <v>49</v>
      </c>
      <c r="JV3" t="s">
        <v>255</v>
      </c>
      <c r="JW3" t="s">
        <v>256</v>
      </c>
      <c r="JX3" t="s">
        <v>257</v>
      </c>
      <c r="JY3" t="s">
        <v>258</v>
      </c>
      <c r="JZ3" t="s">
        <v>259</v>
      </c>
      <c r="KA3" t="s">
        <v>260</v>
      </c>
      <c r="KB3" t="s">
        <v>261</v>
      </c>
      <c r="KC3" t="s">
        <v>262</v>
      </c>
      <c r="KD3" t="s">
        <v>263</v>
      </c>
      <c r="KE3" t="s">
        <v>264</v>
      </c>
      <c r="KF3" t="s">
        <v>265</v>
      </c>
      <c r="KG3" t="s">
        <v>266</v>
      </c>
      <c r="KH3" t="s">
        <v>267</v>
      </c>
      <c r="KI3" t="s">
        <v>268</v>
      </c>
      <c r="KJ3" t="s">
        <v>269</v>
      </c>
      <c r="KK3" t="s">
        <v>270</v>
      </c>
      <c r="KL3" t="s">
        <v>271</v>
      </c>
      <c r="KM3" t="s">
        <v>272</v>
      </c>
      <c r="KN3" t="s">
        <v>273</v>
      </c>
      <c r="KO3" t="s">
        <v>274</v>
      </c>
      <c r="KP3" t="s">
        <v>275</v>
      </c>
      <c r="KQ3" t="s">
        <v>276</v>
      </c>
      <c r="KR3" t="s">
        <v>277</v>
      </c>
      <c r="KS3" t="s">
        <v>254</v>
      </c>
      <c r="KT3" t="s">
        <v>278</v>
      </c>
      <c r="KU3" t="s">
        <v>279</v>
      </c>
      <c r="KV3" t="s">
        <v>280</v>
      </c>
      <c r="KW3" t="s">
        <v>281</v>
      </c>
      <c r="KX3" t="s">
        <v>282</v>
      </c>
      <c r="KY3" t="s">
        <v>277</v>
      </c>
      <c r="KZ3" t="s">
        <v>254</v>
      </c>
      <c r="LA3" t="s">
        <v>283</v>
      </c>
      <c r="LB3" t="s">
        <v>284</v>
      </c>
      <c r="LC3" t="s">
        <v>285</v>
      </c>
      <c r="LD3" t="s">
        <v>286</v>
      </c>
      <c r="LE3" t="s">
        <v>287</v>
      </c>
      <c r="LF3" t="s">
        <v>288</v>
      </c>
      <c r="LG3" t="s">
        <v>289</v>
      </c>
      <c r="LH3" t="s">
        <v>290</v>
      </c>
      <c r="LI3" t="s">
        <v>291</v>
      </c>
      <c r="LJ3" t="s">
        <v>292</v>
      </c>
      <c r="LK3" t="s">
        <v>293</v>
      </c>
      <c r="LL3" t="s">
        <v>294</v>
      </c>
      <c r="LM3" t="s">
        <v>254</v>
      </c>
      <c r="LN3" t="s">
        <v>295</v>
      </c>
      <c r="LO3" t="s">
        <v>296</v>
      </c>
      <c r="LP3" t="s">
        <v>297</v>
      </c>
      <c r="LQ3" t="s">
        <v>298</v>
      </c>
      <c r="LR3" t="s">
        <v>299</v>
      </c>
      <c r="LS3" t="s">
        <v>300</v>
      </c>
      <c r="LT3" t="s">
        <v>301</v>
      </c>
      <c r="LU3" t="s">
        <v>254</v>
      </c>
      <c r="LV3" t="s">
        <v>302</v>
      </c>
      <c r="LW3" t="s">
        <v>303</v>
      </c>
      <c r="LX3" t="s">
        <v>304</v>
      </c>
      <c r="LY3" t="s">
        <v>189</v>
      </c>
      <c r="LZ3" t="s">
        <v>190</v>
      </c>
      <c r="MA3" t="s">
        <v>191</v>
      </c>
      <c r="MB3" t="s">
        <v>196</v>
      </c>
      <c r="MC3" t="s">
        <v>305</v>
      </c>
      <c r="MD3" t="s">
        <v>189</v>
      </c>
      <c r="ME3" t="s">
        <v>192</v>
      </c>
      <c r="MF3" t="s">
        <v>193</v>
      </c>
      <c r="MG3" t="s">
        <v>194</v>
      </c>
      <c r="MH3" t="s">
        <v>306</v>
      </c>
      <c r="MI3" t="s">
        <v>307</v>
      </c>
      <c r="MJ3" t="s">
        <v>308</v>
      </c>
      <c r="MK3" t="s">
        <v>309</v>
      </c>
      <c r="ML3" t="s">
        <v>254</v>
      </c>
      <c r="MM3" t="s">
        <v>310</v>
      </c>
      <c r="MN3" t="s">
        <v>311</v>
      </c>
      <c r="MO3" t="s">
        <v>312</v>
      </c>
      <c r="MP3" t="s">
        <v>313</v>
      </c>
      <c r="MQ3" t="s">
        <v>314</v>
      </c>
      <c r="MR3" t="s">
        <v>315</v>
      </c>
      <c r="MS3" t="s">
        <v>316</v>
      </c>
      <c r="MT3" t="s">
        <v>317</v>
      </c>
      <c r="MU3" t="s">
        <v>254</v>
      </c>
      <c r="MV3" t="s">
        <v>310</v>
      </c>
      <c r="MW3" t="s">
        <v>318</v>
      </c>
      <c r="MX3" t="s">
        <v>319</v>
      </c>
      <c r="MY3" t="s">
        <v>320</v>
      </c>
      <c r="MZ3" t="s">
        <v>254</v>
      </c>
      <c r="NA3" t="s">
        <v>310</v>
      </c>
      <c r="NB3" t="s">
        <v>318</v>
      </c>
      <c r="NC3" t="s">
        <v>319</v>
      </c>
      <c r="ND3" t="s">
        <v>321</v>
      </c>
      <c r="NE3" t="s">
        <v>254</v>
      </c>
      <c r="NF3" t="s">
        <v>310</v>
      </c>
      <c r="NG3" t="s">
        <v>318</v>
      </c>
      <c r="NH3" t="s">
        <v>319</v>
      </c>
      <c r="NI3" t="s">
        <v>322</v>
      </c>
      <c r="NJ3" t="s">
        <v>323</v>
      </c>
      <c r="NK3" t="s">
        <v>324</v>
      </c>
      <c r="NL3" t="s">
        <v>325</v>
      </c>
      <c r="NM3" t="s">
        <v>326</v>
      </c>
      <c r="NN3" t="s">
        <v>327</v>
      </c>
      <c r="NO3" t="s">
        <v>328</v>
      </c>
      <c r="NP3" t="s">
        <v>329</v>
      </c>
      <c r="NQ3" t="s">
        <v>330</v>
      </c>
      <c r="NR3" t="s">
        <v>331</v>
      </c>
      <c r="NS3" t="s">
        <v>332</v>
      </c>
      <c r="NT3" t="s">
        <v>44</v>
      </c>
      <c r="NU3" t="s">
        <v>333</v>
      </c>
      <c r="NV3" t="s">
        <v>334</v>
      </c>
      <c r="NW3" t="s">
        <v>335</v>
      </c>
      <c r="NX3" t="s">
        <v>336</v>
      </c>
      <c r="NY3" t="s">
        <v>337</v>
      </c>
      <c r="NZ3" t="s">
        <v>338</v>
      </c>
      <c r="OA3" t="s">
        <v>339</v>
      </c>
      <c r="OB3" t="s">
        <v>340</v>
      </c>
      <c r="OC3" t="s">
        <v>341</v>
      </c>
      <c r="OD3" t="s">
        <v>342</v>
      </c>
      <c r="OE3" t="s">
        <v>343</v>
      </c>
      <c r="OF3" t="s">
        <v>344</v>
      </c>
      <c r="OG3" t="s">
        <v>345</v>
      </c>
      <c r="OH3" t="s">
        <v>346</v>
      </c>
      <c r="OI3" t="s">
        <v>347</v>
      </c>
      <c r="OJ3" t="s">
        <v>348</v>
      </c>
      <c r="OK3" t="s">
        <v>349</v>
      </c>
      <c r="OL3" t="s">
        <v>350</v>
      </c>
      <c r="OM3" t="s">
        <v>351</v>
      </c>
      <c r="ON3" t="s">
        <v>352</v>
      </c>
      <c r="OO3" t="s">
        <v>353</v>
      </c>
      <c r="OP3" t="s">
        <v>354</v>
      </c>
      <c r="OQ3" t="s">
        <v>355</v>
      </c>
      <c r="OR3" t="s">
        <v>125</v>
      </c>
      <c r="OS3" t="s">
        <v>126</v>
      </c>
      <c r="OT3" t="s">
        <v>46</v>
      </c>
      <c r="OU3" t="s">
        <v>356</v>
      </c>
      <c r="OV3" t="s">
        <v>357</v>
      </c>
      <c r="OW3" t="s">
        <v>358</v>
      </c>
      <c r="OX3" t="s">
        <v>359</v>
      </c>
      <c r="OY3" t="s">
        <v>360</v>
      </c>
      <c r="OZ3" t="s">
        <v>361</v>
      </c>
      <c r="PA3" t="s">
        <v>362</v>
      </c>
      <c r="PB3" t="s">
        <v>363</v>
      </c>
      <c r="PC3" t="s">
        <v>364</v>
      </c>
      <c r="PD3" t="s">
        <v>365</v>
      </c>
      <c r="PE3" t="s">
        <v>366</v>
      </c>
      <c r="PF3" t="s">
        <v>367</v>
      </c>
      <c r="PG3" t="s">
        <v>368</v>
      </c>
      <c r="PH3" t="s">
        <v>126</v>
      </c>
      <c r="PI3" t="s">
        <v>369</v>
      </c>
      <c r="PJ3" t="s">
        <v>370</v>
      </c>
      <c r="PK3" t="s">
        <v>371</v>
      </c>
      <c r="PL3" t="s">
        <v>372</v>
      </c>
      <c r="PM3" t="s">
        <v>373</v>
      </c>
      <c r="PN3" t="s">
        <v>374</v>
      </c>
      <c r="PO3" t="s">
        <v>375</v>
      </c>
      <c r="PP3" t="s">
        <v>376</v>
      </c>
      <c r="PQ3" t="s">
        <v>377</v>
      </c>
      <c r="PR3" t="s">
        <v>378</v>
      </c>
      <c r="PS3" t="s">
        <v>379</v>
      </c>
      <c r="PT3" t="s">
        <v>380</v>
      </c>
      <c r="PU3" t="s">
        <v>381</v>
      </c>
      <c r="PV3" t="s">
        <v>382</v>
      </c>
      <c r="PW3" t="s">
        <v>383</v>
      </c>
      <c r="PX3" t="s">
        <v>384</v>
      </c>
      <c r="PY3" t="s">
        <v>377</v>
      </c>
      <c r="PZ3" t="s">
        <v>385</v>
      </c>
      <c r="QA3" t="s">
        <v>386</v>
      </c>
      <c r="QB3" t="s">
        <v>387</v>
      </c>
      <c r="QC3" t="s">
        <v>388</v>
      </c>
      <c r="QD3" t="s">
        <v>389</v>
      </c>
      <c r="QE3" t="s">
        <v>390</v>
      </c>
      <c r="QF3" t="s">
        <v>391</v>
      </c>
      <c r="QG3" t="s">
        <v>392</v>
      </c>
      <c r="QH3" t="s">
        <v>393</v>
      </c>
      <c r="QI3" t="s">
        <v>394</v>
      </c>
      <c r="QJ3" t="s">
        <v>392</v>
      </c>
      <c r="QK3" t="s">
        <v>393</v>
      </c>
      <c r="QL3" t="s">
        <v>395</v>
      </c>
      <c r="QM3" t="s">
        <v>392</v>
      </c>
      <c r="QN3" t="s">
        <v>393</v>
      </c>
      <c r="QO3" t="s">
        <v>396</v>
      </c>
      <c r="QP3" t="s">
        <v>397</v>
      </c>
      <c r="QQ3" t="s">
        <v>398</v>
      </c>
      <c r="QR3" t="s">
        <v>392</v>
      </c>
      <c r="QS3" t="s">
        <v>393</v>
      </c>
      <c r="QT3" t="s">
        <v>399</v>
      </c>
      <c r="QU3" t="s">
        <v>400</v>
      </c>
      <c r="QV3" t="s">
        <v>398</v>
      </c>
      <c r="QW3" t="s">
        <v>392</v>
      </c>
      <c r="QX3" t="s">
        <v>390</v>
      </c>
      <c r="QY3" t="s">
        <v>401</v>
      </c>
      <c r="QZ3" t="s">
        <v>44</v>
      </c>
      <c r="RA3" t="s">
        <v>402</v>
      </c>
      <c r="RB3" t="s">
        <v>403</v>
      </c>
      <c r="RC3" t="s">
        <v>404</v>
      </c>
      <c r="RD3" t="s">
        <v>405</v>
      </c>
      <c r="RE3" t="s">
        <v>406</v>
      </c>
      <c r="RF3" t="s">
        <v>407</v>
      </c>
      <c r="RG3" t="s">
        <v>408</v>
      </c>
      <c r="RH3" t="s">
        <v>409</v>
      </c>
      <c r="RI3" t="s">
        <v>410</v>
      </c>
      <c r="RJ3" t="s">
        <v>411</v>
      </c>
      <c r="RK3" t="s">
        <v>412</v>
      </c>
      <c r="RL3" t="s">
        <v>413</v>
      </c>
      <c r="RM3" t="s">
        <v>414</v>
      </c>
      <c r="RN3" t="s">
        <v>415</v>
      </c>
      <c r="RO3" t="s">
        <v>416</v>
      </c>
      <c r="RP3" t="s">
        <v>417</v>
      </c>
      <c r="RQ3" t="s">
        <v>418</v>
      </c>
      <c r="RR3" t="s">
        <v>419</v>
      </c>
      <c r="RS3" t="s">
        <v>420</v>
      </c>
      <c r="RT3" t="s">
        <v>421</v>
      </c>
      <c r="RU3" t="s">
        <v>422</v>
      </c>
      <c r="RV3" t="s">
        <v>423</v>
      </c>
      <c r="RW3" t="s">
        <v>424</v>
      </c>
      <c r="RX3" t="s">
        <v>425</v>
      </c>
      <c r="RY3" t="s">
        <v>426</v>
      </c>
      <c r="RZ3" t="s">
        <v>427</v>
      </c>
      <c r="SA3" t="s">
        <v>428</v>
      </c>
      <c r="SB3" t="s">
        <v>44</v>
      </c>
      <c r="SC3" t="s">
        <v>429</v>
      </c>
      <c r="SD3" t="s">
        <v>46</v>
      </c>
      <c r="SE3" t="s">
        <v>430</v>
      </c>
      <c r="SF3" t="s">
        <v>431</v>
      </c>
      <c r="SG3" t="s">
        <v>432</v>
      </c>
      <c r="SH3" t="s">
        <v>433</v>
      </c>
      <c r="SI3" t="s">
        <v>434</v>
      </c>
      <c r="SJ3" t="s">
        <v>435</v>
      </c>
      <c r="SK3" t="s">
        <v>436</v>
      </c>
      <c r="SL3" t="s">
        <v>437</v>
      </c>
      <c r="SM3" t="s">
        <v>438</v>
      </c>
      <c r="SN3" t="s">
        <v>439</v>
      </c>
      <c r="SO3" t="s">
        <v>440</v>
      </c>
      <c r="SP3" t="s">
        <v>441</v>
      </c>
      <c r="SQ3" t="s">
        <v>442</v>
      </c>
      <c r="SR3" t="s">
        <v>443</v>
      </c>
      <c r="SS3" t="s">
        <v>44</v>
      </c>
      <c r="ST3" t="s">
        <v>444</v>
      </c>
      <c r="SU3" t="s">
        <v>445</v>
      </c>
      <c r="SV3" t="s">
        <v>446</v>
      </c>
      <c r="SW3" t="s">
        <v>447</v>
      </c>
      <c r="SX3" t="s">
        <v>448</v>
      </c>
      <c r="SY3" t="s">
        <v>449</v>
      </c>
      <c r="SZ3" t="s">
        <v>450</v>
      </c>
      <c r="TA3" t="s">
        <v>451</v>
      </c>
      <c r="TB3" t="s">
        <v>452</v>
      </c>
      <c r="TC3" t="s">
        <v>453</v>
      </c>
      <c r="TD3" t="s">
        <v>454</v>
      </c>
      <c r="TE3" t="s">
        <v>455</v>
      </c>
      <c r="TF3" t="s">
        <v>456</v>
      </c>
      <c r="TG3" t="s">
        <v>457</v>
      </c>
      <c r="TH3" t="s">
        <v>458</v>
      </c>
      <c r="TI3" t="s">
        <v>459</v>
      </c>
      <c r="TJ3" t="s">
        <v>460</v>
      </c>
      <c r="TK3" t="s">
        <v>461</v>
      </c>
      <c r="TL3" t="s">
        <v>462</v>
      </c>
      <c r="TM3" t="s">
        <v>463</v>
      </c>
      <c r="TN3" t="s">
        <v>44</v>
      </c>
      <c r="TO3" t="s">
        <v>464</v>
      </c>
      <c r="TP3" t="s">
        <v>465</v>
      </c>
      <c r="TQ3" t="s">
        <v>466</v>
      </c>
      <c r="TR3" t="s">
        <v>467</v>
      </c>
      <c r="TS3" t="s">
        <v>468</v>
      </c>
      <c r="TT3" t="s">
        <v>469</v>
      </c>
      <c r="TU3" t="s">
        <v>470</v>
      </c>
      <c r="TV3" t="s">
        <v>471</v>
      </c>
      <c r="TW3" t="s">
        <v>472</v>
      </c>
      <c r="TX3" t="s">
        <v>473</v>
      </c>
      <c r="TY3" t="s">
        <v>474</v>
      </c>
      <c r="TZ3" t="s">
        <v>475</v>
      </c>
      <c r="UA3" t="s">
        <v>476</v>
      </c>
      <c r="UB3" t="s">
        <v>477</v>
      </c>
      <c r="UC3" t="s">
        <v>478</v>
      </c>
      <c r="UD3" t="s">
        <v>479</v>
      </c>
      <c r="UE3" t="s">
        <v>480</v>
      </c>
      <c r="UF3" t="s">
        <v>481</v>
      </c>
      <c r="UG3" t="s">
        <v>482</v>
      </c>
      <c r="UH3" t="s">
        <v>483</v>
      </c>
      <c r="UI3" t="s">
        <v>484</v>
      </c>
      <c r="UJ3" t="s">
        <v>485</v>
      </c>
      <c r="UK3" t="s">
        <v>486</v>
      </c>
      <c r="UL3" t="s">
        <v>487</v>
      </c>
      <c r="UM3" t="s">
        <v>488</v>
      </c>
      <c r="UN3" t="s">
        <v>489</v>
      </c>
      <c r="UO3" t="s">
        <v>490</v>
      </c>
      <c r="UP3" t="s">
        <v>491</v>
      </c>
      <c r="UQ3" t="s">
        <v>492</v>
      </c>
      <c r="UR3" t="s">
        <v>493</v>
      </c>
      <c r="US3" t="s">
        <v>494</v>
      </c>
      <c r="UT3" t="s">
        <v>495</v>
      </c>
      <c r="UU3" t="s">
        <v>496</v>
      </c>
      <c r="UV3" t="s">
        <v>497</v>
      </c>
      <c r="UW3" t="s">
        <v>498</v>
      </c>
      <c r="UX3" t="s">
        <v>499</v>
      </c>
      <c r="UY3" t="s">
        <v>500</v>
      </c>
      <c r="UZ3" t="s">
        <v>501</v>
      </c>
      <c r="VA3" t="s">
        <v>502</v>
      </c>
      <c r="VB3" t="s">
        <v>503</v>
      </c>
      <c r="VC3" t="s">
        <v>504</v>
      </c>
      <c r="VD3" t="s">
        <v>505</v>
      </c>
      <c r="VE3" t="s">
        <v>506</v>
      </c>
      <c r="VF3" t="s">
        <v>507</v>
      </c>
      <c r="VG3" t="s">
        <v>508</v>
      </c>
      <c r="VH3" t="s">
        <v>509</v>
      </c>
      <c r="VI3" t="s">
        <v>510</v>
      </c>
      <c r="VJ3" t="s">
        <v>511</v>
      </c>
      <c r="VK3" t="s">
        <v>266</v>
      </c>
      <c r="VL3" t="s">
        <v>255</v>
      </c>
      <c r="VM3" t="s">
        <v>512</v>
      </c>
      <c r="VN3" t="s">
        <v>511</v>
      </c>
      <c r="VO3" t="s">
        <v>254</v>
      </c>
      <c r="VP3" t="s">
        <v>48</v>
      </c>
      <c r="VQ3" t="s">
        <v>513</v>
      </c>
      <c r="VR3" t="s">
        <v>514</v>
      </c>
      <c r="VS3" t="s">
        <v>511</v>
      </c>
      <c r="VT3" t="s">
        <v>254</v>
      </c>
      <c r="VU3" t="s">
        <v>515</v>
      </c>
      <c r="VV3" t="s">
        <v>516</v>
      </c>
      <c r="VW3" t="s">
        <v>44</v>
      </c>
      <c r="VX3" t="s">
        <v>517</v>
      </c>
      <c r="VY3" t="s">
        <v>518</v>
      </c>
      <c r="VZ3" t="s">
        <v>519</v>
      </c>
      <c r="WA3" t="s">
        <v>520</v>
      </c>
      <c r="WB3" t="s">
        <v>521</v>
      </c>
      <c r="WC3" t="s">
        <v>522</v>
      </c>
      <c r="WD3" t="s">
        <v>523</v>
      </c>
      <c r="WE3" t="s">
        <v>524</v>
      </c>
      <c r="WF3" t="s">
        <v>525</v>
      </c>
      <c r="WG3" t="s">
        <v>526</v>
      </c>
      <c r="WH3">
        <v>4</v>
      </c>
      <c r="WI3" t="s">
        <v>527</v>
      </c>
      <c r="WJ3" t="s">
        <v>528</v>
      </c>
      <c r="WK3" t="s">
        <v>529</v>
      </c>
      <c r="WL3" t="s">
        <v>530</v>
      </c>
      <c r="WM3">
        <v>5</v>
      </c>
      <c r="WN3" t="s">
        <v>531</v>
      </c>
      <c r="WO3" t="s">
        <v>532</v>
      </c>
      <c r="WP3" t="s">
        <v>533</v>
      </c>
      <c r="WQ3" t="s">
        <v>534</v>
      </c>
      <c r="WR3" t="s">
        <v>535</v>
      </c>
      <c r="WS3" t="s">
        <v>536</v>
      </c>
      <c r="WT3" t="s">
        <v>537</v>
      </c>
      <c r="WU3" t="s">
        <v>538</v>
      </c>
      <c r="WV3" t="s">
        <v>539</v>
      </c>
      <c r="WW3" t="s">
        <v>540</v>
      </c>
      <c r="WX3" t="s">
        <v>541</v>
      </c>
      <c r="WY3" t="s">
        <v>542</v>
      </c>
      <c r="WZ3" t="s">
        <v>543</v>
      </c>
      <c r="XA3" t="s">
        <v>544</v>
      </c>
      <c r="XB3" t="s">
        <v>545</v>
      </c>
      <c r="XC3" t="s">
        <v>546</v>
      </c>
      <c r="XD3" t="s">
        <v>547</v>
      </c>
      <c r="XE3" t="s">
        <v>548</v>
      </c>
      <c r="XF3" t="s">
        <v>549</v>
      </c>
      <c r="XG3" t="s">
        <v>550</v>
      </c>
      <c r="XH3" t="s">
        <v>551</v>
      </c>
      <c r="XI3" t="s">
        <v>552</v>
      </c>
      <c r="XJ3" t="s">
        <v>553</v>
      </c>
      <c r="XK3" t="s">
        <v>554</v>
      </c>
      <c r="XL3" t="s">
        <v>555</v>
      </c>
      <c r="XM3" t="s">
        <v>126</v>
      </c>
      <c r="XN3" t="s">
        <v>556</v>
      </c>
      <c r="XO3" t="s">
        <v>557</v>
      </c>
      <c r="XP3" t="s">
        <v>558</v>
      </c>
      <c r="XQ3" t="s">
        <v>559</v>
      </c>
      <c r="XR3" t="s">
        <v>560</v>
      </c>
      <c r="XS3" t="s">
        <v>561</v>
      </c>
      <c r="XT3" t="s">
        <v>562</v>
      </c>
      <c r="XU3" t="s">
        <v>563</v>
      </c>
      <c r="XV3" t="s">
        <v>564</v>
      </c>
      <c r="XW3" t="s">
        <v>565</v>
      </c>
      <c r="XX3" t="s">
        <v>566</v>
      </c>
      <c r="XY3" t="s">
        <v>567</v>
      </c>
      <c r="XZ3" t="s">
        <v>568</v>
      </c>
      <c r="YA3" t="s">
        <v>569</v>
      </c>
      <c r="YB3" t="s">
        <v>570</v>
      </c>
      <c r="YC3" t="s">
        <v>571</v>
      </c>
      <c r="YD3" t="s">
        <v>572</v>
      </c>
      <c r="YE3" t="s">
        <v>573</v>
      </c>
      <c r="YF3" t="s">
        <v>574</v>
      </c>
      <c r="YG3" t="s">
        <v>575</v>
      </c>
      <c r="YH3" t="s">
        <v>576</v>
      </c>
      <c r="YI3" t="s">
        <v>577</v>
      </c>
      <c r="YJ3" t="s">
        <v>578</v>
      </c>
      <c r="YK3" t="s">
        <v>579</v>
      </c>
      <c r="YL3" t="s">
        <v>578</v>
      </c>
      <c r="YM3" t="s">
        <v>580</v>
      </c>
      <c r="YN3" t="s">
        <v>581</v>
      </c>
      <c r="YO3" t="s">
        <v>582</v>
      </c>
      <c r="YP3" t="s">
        <v>583</v>
      </c>
      <c r="YQ3" t="s">
        <v>584</v>
      </c>
      <c r="YR3" t="s">
        <v>585</v>
      </c>
      <c r="YS3" t="s">
        <v>586</v>
      </c>
      <c r="YT3" t="s">
        <v>587</v>
      </c>
      <c r="YU3" t="s">
        <v>584</v>
      </c>
      <c r="YV3" t="s">
        <v>585</v>
      </c>
      <c r="YW3" t="s">
        <v>588</v>
      </c>
      <c r="YX3" t="s">
        <v>589</v>
      </c>
      <c r="YY3" t="s">
        <v>590</v>
      </c>
      <c r="YZ3" t="s">
        <v>591</v>
      </c>
      <c r="ZA3" t="s">
        <v>592</v>
      </c>
      <c r="ZB3" t="s">
        <v>593</v>
      </c>
      <c r="ZC3" t="s">
        <v>590</v>
      </c>
      <c r="ZD3" t="s">
        <v>594</v>
      </c>
      <c r="ZE3" t="s">
        <v>595</v>
      </c>
      <c r="ZF3" t="s">
        <v>596</v>
      </c>
      <c r="ZG3" t="s">
        <v>597</v>
      </c>
      <c r="ZH3" t="s">
        <v>598</v>
      </c>
      <c r="ZI3" t="s">
        <v>599</v>
      </c>
      <c r="ZJ3" t="s">
        <v>600</v>
      </c>
      <c r="ZK3" t="s">
        <v>601</v>
      </c>
      <c r="ZL3" t="s">
        <v>602</v>
      </c>
      <c r="ZM3" t="s">
        <v>603</v>
      </c>
      <c r="ZN3" t="s">
        <v>604</v>
      </c>
      <c r="ZO3" t="s">
        <v>605</v>
      </c>
      <c r="ZP3" t="s">
        <v>606</v>
      </c>
      <c r="ZQ3" t="s">
        <v>607</v>
      </c>
      <c r="ZR3" t="s">
        <v>608</v>
      </c>
      <c r="ZS3" t="s">
        <v>609</v>
      </c>
      <c r="ZT3" t="s">
        <v>610</v>
      </c>
      <c r="ZU3" t="s">
        <v>125</v>
      </c>
      <c r="ZV3" t="s">
        <v>611</v>
      </c>
      <c r="ZW3" t="s">
        <v>612</v>
      </c>
      <c r="ZX3" t="s">
        <v>613</v>
      </c>
      <c r="ZY3" t="s">
        <v>614</v>
      </c>
      <c r="ZZ3" t="s">
        <v>615</v>
      </c>
      <c r="AAA3" t="s">
        <v>616</v>
      </c>
      <c r="AAB3" t="s">
        <v>388</v>
      </c>
      <c r="AAC3" t="s">
        <v>617</v>
      </c>
      <c r="AAD3" t="s">
        <v>618</v>
      </c>
      <c r="AAE3" t="s">
        <v>619</v>
      </c>
      <c r="AAF3" t="s">
        <v>620</v>
      </c>
      <c r="AAG3" t="e">
        <f>+R:R+""</f>
        <v>#VALUE!</v>
      </c>
      <c r="AAH3" t="s">
        <v>621</v>
      </c>
      <c r="AAI3" t="s">
        <v>622</v>
      </c>
      <c r="AAJ3" t="s">
        <v>623</v>
      </c>
      <c r="AAK3" t="s">
        <v>624</v>
      </c>
      <c r="AAL3" t="s">
        <v>625</v>
      </c>
      <c r="AAM3" t="s">
        <v>626</v>
      </c>
      <c r="AAN3" t="s">
        <v>627</v>
      </c>
      <c r="AAO3" t="s">
        <v>628</v>
      </c>
      <c r="AAP3" t="s">
        <v>629</v>
      </c>
      <c r="AAQ3" t="s">
        <v>630</v>
      </c>
      <c r="AAR3" t="s">
        <v>631</v>
      </c>
      <c r="AAS3" t="s">
        <v>632</v>
      </c>
      <c r="AAT3" t="s">
        <v>633</v>
      </c>
      <c r="AAU3" t="s">
        <v>267</v>
      </c>
      <c r="AAV3" t="s">
        <v>289</v>
      </c>
      <c r="AAW3" t="s">
        <v>634</v>
      </c>
      <c r="AAX3" t="s">
        <v>635</v>
      </c>
      <c r="AAY3" t="s">
        <v>629</v>
      </c>
      <c r="AAZ3" t="s">
        <v>636</v>
      </c>
      <c r="ABA3" t="s">
        <v>632</v>
      </c>
      <c r="ABB3" t="s">
        <v>637</v>
      </c>
      <c r="ABC3" t="s">
        <v>638</v>
      </c>
      <c r="ABD3" t="s">
        <v>639</v>
      </c>
      <c r="ABE3" t="s">
        <v>640</v>
      </c>
      <c r="ABF3" t="s">
        <v>46</v>
      </c>
      <c r="ABG3" t="s">
        <v>641</v>
      </c>
      <c r="ABH3" t="s">
        <v>642</v>
      </c>
      <c r="ABI3" t="s">
        <v>643</v>
      </c>
      <c r="ABJ3" t="s">
        <v>644</v>
      </c>
      <c r="ABK3" t="s">
        <v>645</v>
      </c>
      <c r="ABL3" t="s">
        <v>646</v>
      </c>
      <c r="ABM3" t="s">
        <v>647</v>
      </c>
      <c r="ABN3" t="s">
        <v>648</v>
      </c>
      <c r="ABO3" t="s">
        <v>649</v>
      </c>
      <c r="ABP3" t="s">
        <v>650</v>
      </c>
      <c r="ABQ3" t="s">
        <v>651</v>
      </c>
      <c r="ABR3" t="s">
        <v>652</v>
      </c>
      <c r="ABS3" t="s">
        <v>653</v>
      </c>
      <c r="ABT3" t="s">
        <v>654</v>
      </c>
      <c r="ABU3" t="s">
        <v>655</v>
      </c>
      <c r="ABV3" t="s">
        <v>656</v>
      </c>
      <c r="ABW3" t="s">
        <v>657</v>
      </c>
      <c r="ABX3" t="s">
        <v>658</v>
      </c>
      <c r="ABY3" t="s">
        <v>659</v>
      </c>
      <c r="ABZ3" t="s">
        <v>660</v>
      </c>
      <c r="ACA3" t="s">
        <v>661</v>
      </c>
      <c r="ACB3" t="s">
        <v>662</v>
      </c>
      <c r="ACC3" t="s">
        <v>663</v>
      </c>
      <c r="ACD3" t="s">
        <v>664</v>
      </c>
      <c r="ACE3" t="s">
        <v>665</v>
      </c>
      <c r="ACF3" t="s">
        <v>666</v>
      </c>
      <c r="ACG3" t="s">
        <v>667</v>
      </c>
      <c r="ACH3" t="s">
        <v>668</v>
      </c>
      <c r="ACI3" t="s">
        <v>669</v>
      </c>
      <c r="ACJ3" t="s">
        <v>670</v>
      </c>
      <c r="ACK3" t="s">
        <v>592</v>
      </c>
      <c r="ACL3" t="s">
        <v>671</v>
      </c>
      <c r="ACM3" t="s">
        <v>672</v>
      </c>
      <c r="ACN3" t="s">
        <v>673</v>
      </c>
      <c r="ACO3" t="s">
        <v>674</v>
      </c>
      <c r="ACP3" t="s">
        <v>675</v>
      </c>
      <c r="ACQ3" t="s">
        <v>676</v>
      </c>
      <c r="ACR3" t="s">
        <v>677</v>
      </c>
      <c r="ACS3" t="s">
        <v>678</v>
      </c>
      <c r="ACT3" t="s">
        <v>679</v>
      </c>
      <c r="ACU3" t="s">
        <v>680</v>
      </c>
      <c r="ACV3" t="s">
        <v>681</v>
      </c>
      <c r="ACW3" t="s">
        <v>682</v>
      </c>
      <c r="ACX3" t="s">
        <v>608</v>
      </c>
      <c r="ACY3" t="s">
        <v>683</v>
      </c>
      <c r="ACZ3" t="s">
        <v>684</v>
      </c>
      <c r="ADA3" t="s">
        <v>685</v>
      </c>
      <c r="ADB3" t="s">
        <v>686</v>
      </c>
      <c r="ADC3" t="s">
        <v>687</v>
      </c>
      <c r="ADD3" t="s">
        <v>688</v>
      </c>
      <c r="ADE3" t="s">
        <v>689</v>
      </c>
      <c r="ADF3" t="s">
        <v>690</v>
      </c>
      <c r="ADG3" t="s">
        <v>607</v>
      </c>
      <c r="ADH3" t="s">
        <v>608</v>
      </c>
      <c r="ADI3" t="s">
        <v>691</v>
      </c>
      <c r="ADJ3" t="s">
        <v>692</v>
      </c>
      <c r="ADK3" t="s">
        <v>693</v>
      </c>
      <c r="ADL3" t="s">
        <v>694</v>
      </c>
      <c r="ADM3" t="s">
        <v>695</v>
      </c>
      <c r="ADN3" t="s">
        <v>696</v>
      </c>
      <c r="ADO3" t="s">
        <v>536</v>
      </c>
      <c r="ADP3" t="s">
        <v>697</v>
      </c>
      <c r="ADQ3" t="s">
        <v>698</v>
      </c>
      <c r="ADR3" t="s">
        <v>699</v>
      </c>
      <c r="ADS3" t="s">
        <v>700</v>
      </c>
      <c r="ADT3" t="s">
        <v>701</v>
      </c>
      <c r="ADU3" t="s">
        <v>702</v>
      </c>
      <c r="ADV3" t="s">
        <v>703</v>
      </c>
      <c r="ADW3" t="s">
        <v>704</v>
      </c>
      <c r="ADX3" t="s">
        <v>705</v>
      </c>
      <c r="ADY3" t="s">
        <v>706</v>
      </c>
      <c r="ADZ3" t="s">
        <v>707</v>
      </c>
      <c r="AEA3" t="s">
        <v>708</v>
      </c>
      <c r="AEB3" t="s">
        <v>709</v>
      </c>
      <c r="AEC3" t="s">
        <v>710</v>
      </c>
      <c r="AED3" t="s">
        <v>711</v>
      </c>
      <c r="AEE3" t="s">
        <v>712</v>
      </c>
      <c r="AEF3" t="s">
        <v>713</v>
      </c>
      <c r="AEG3" t="s">
        <v>714</v>
      </c>
      <c r="AEH3" t="s">
        <v>715</v>
      </c>
      <c r="AEI3" t="s">
        <v>716</v>
      </c>
      <c r="AEJ3" t="s">
        <v>717</v>
      </c>
      <c r="AEK3" t="s">
        <v>718</v>
      </c>
      <c r="AEL3" t="s">
        <v>719</v>
      </c>
      <c r="AEM3" t="s">
        <v>720</v>
      </c>
      <c r="AEN3" t="s">
        <v>721</v>
      </c>
      <c r="AEO3" t="s">
        <v>722</v>
      </c>
      <c r="AEP3" t="s">
        <v>723</v>
      </c>
      <c r="AEQ3" t="s">
        <v>724</v>
      </c>
      <c r="AER3" t="s">
        <v>725</v>
      </c>
      <c r="AES3" t="s">
        <v>726</v>
      </c>
      <c r="AET3" t="s">
        <v>727</v>
      </c>
      <c r="AEU3" t="s">
        <v>728</v>
      </c>
      <c r="AEV3" t="s">
        <v>729</v>
      </c>
      <c r="AEW3" t="s">
        <v>730</v>
      </c>
      <c r="AEX3" t="s">
        <v>731</v>
      </c>
      <c r="AEY3" t="s">
        <v>732</v>
      </c>
      <c r="AEZ3" t="s">
        <v>733</v>
      </c>
      <c r="AFA3" t="s">
        <v>734</v>
      </c>
      <c r="AFB3" t="s">
        <v>735</v>
      </c>
      <c r="AFC3" t="s">
        <v>736</v>
      </c>
      <c r="AFD3" t="s">
        <v>737</v>
      </c>
      <c r="AFE3" t="s">
        <v>738</v>
      </c>
      <c r="AFF3" t="s">
        <v>739</v>
      </c>
      <c r="AFG3" t="s">
        <v>611</v>
      </c>
      <c r="AFH3" t="s">
        <v>740</v>
      </c>
      <c r="AFI3" t="s">
        <v>741</v>
      </c>
      <c r="AFJ3" t="s">
        <v>44</v>
      </c>
      <c r="AFK3" t="s">
        <v>742</v>
      </c>
      <c r="AFL3" t="s">
        <v>743</v>
      </c>
      <c r="AFM3" t="s">
        <v>44</v>
      </c>
      <c r="AFN3" t="s">
        <v>429</v>
      </c>
      <c r="AFO3" t="s">
        <v>46</v>
      </c>
      <c r="AFP3" t="s">
        <v>47</v>
      </c>
      <c r="AFQ3" t="s">
        <v>744</v>
      </c>
      <c r="AFR3" t="s">
        <v>745</v>
      </c>
      <c r="AFS3" t="s">
        <v>746</v>
      </c>
      <c r="AFT3" t="s">
        <v>747</v>
      </c>
      <c r="AFU3" t="s">
        <v>748</v>
      </c>
      <c r="AFV3" t="s">
        <v>749</v>
      </c>
      <c r="AFW3" t="s">
        <v>750</v>
      </c>
      <c r="AFX3" t="s">
        <v>751</v>
      </c>
      <c r="AFY3" t="s">
        <v>752</v>
      </c>
      <c r="AFZ3" t="s">
        <v>753</v>
      </c>
      <c r="AGA3" t="s">
        <v>754</v>
      </c>
      <c r="AGB3">
        <v>0</v>
      </c>
      <c r="AGC3">
        <v>1</v>
      </c>
      <c r="AGD3" t="s">
        <v>755</v>
      </c>
      <c r="AGE3" t="s">
        <v>756</v>
      </c>
      <c r="AGF3" t="s">
        <v>757</v>
      </c>
      <c r="AGG3">
        <v>0</v>
      </c>
      <c r="AGH3">
        <v>1</v>
      </c>
      <c r="AGI3" t="s">
        <v>758</v>
      </c>
      <c r="AGJ3" t="s">
        <v>47</v>
      </c>
      <c r="AGK3" t="s">
        <v>759</v>
      </c>
      <c r="AGL3" t="s">
        <v>760</v>
      </c>
      <c r="AGM3" t="s">
        <v>761</v>
      </c>
      <c r="AGN3" t="s">
        <v>762</v>
      </c>
      <c r="AGO3" t="s">
        <v>763</v>
      </c>
      <c r="AGP3" t="s">
        <v>764</v>
      </c>
      <c r="AGQ3" t="s">
        <v>765</v>
      </c>
      <c r="AGR3" t="s">
        <v>125</v>
      </c>
      <c r="AGS3" t="s">
        <v>126</v>
      </c>
      <c r="AGT3" t="s">
        <v>766</v>
      </c>
      <c r="AGU3" t="s">
        <v>125</v>
      </c>
      <c r="AGV3" t="s">
        <v>767</v>
      </c>
      <c r="AGW3" t="s">
        <v>44</v>
      </c>
      <c r="AGX3" t="s">
        <v>768</v>
      </c>
      <c r="AGY3" t="s">
        <v>769</v>
      </c>
      <c r="AGZ3" t="s">
        <v>770</v>
      </c>
      <c r="AHA3" t="s">
        <v>771</v>
      </c>
      <c r="AHB3" t="s">
        <v>772</v>
      </c>
      <c r="AHC3" t="s">
        <v>44</v>
      </c>
      <c r="AHD3" t="s">
        <v>773</v>
      </c>
      <c r="AHE3" t="s">
        <v>774</v>
      </c>
      <c r="AHF3" t="s">
        <v>44</v>
      </c>
      <c r="AHG3" t="s">
        <v>775</v>
      </c>
      <c r="AHH3" t="s">
        <v>776</v>
      </c>
      <c r="AHI3" t="s">
        <v>777</v>
      </c>
      <c r="AHJ3" t="s">
        <v>778</v>
      </c>
      <c r="AHK3" t="s">
        <v>779</v>
      </c>
      <c r="AHL3" t="s">
        <v>780</v>
      </c>
      <c r="AHM3" t="s">
        <v>781</v>
      </c>
      <c r="AHN3" t="s">
        <v>44</v>
      </c>
      <c r="AHO3" t="s">
        <v>782</v>
      </c>
      <c r="AHP3" t="s">
        <v>783</v>
      </c>
      <c r="AHQ3" t="s">
        <v>784</v>
      </c>
      <c r="AHR3" t="s">
        <v>785</v>
      </c>
      <c r="AHS3" t="s">
        <v>786</v>
      </c>
      <c r="AHT3" t="s">
        <v>787</v>
      </c>
      <c r="AHU3" t="s">
        <v>788</v>
      </c>
      <c r="AHV3" t="s">
        <v>789</v>
      </c>
      <c r="AHW3" t="s">
        <v>790</v>
      </c>
      <c r="AHX3" t="s">
        <v>791</v>
      </c>
      <c r="AHY3" t="s">
        <v>792</v>
      </c>
      <c r="AHZ3" t="s">
        <v>793</v>
      </c>
      <c r="AIA3" t="s">
        <v>794</v>
      </c>
      <c r="AIB3" t="s">
        <v>795</v>
      </c>
      <c r="AIC3" t="s">
        <v>796</v>
      </c>
      <c r="AID3" t="s">
        <v>797</v>
      </c>
      <c r="AIE3" t="s">
        <v>798</v>
      </c>
      <c r="AIF3" t="s">
        <v>799</v>
      </c>
      <c r="AIG3" t="s">
        <v>800</v>
      </c>
      <c r="AIH3" t="s">
        <v>801</v>
      </c>
      <c r="AII3" t="s">
        <v>802</v>
      </c>
      <c r="AIJ3" t="s">
        <v>803</v>
      </c>
      <c r="AIK3" t="s">
        <v>804</v>
      </c>
      <c r="AIL3" t="s">
        <v>805</v>
      </c>
      <c r="AIM3" t="s">
        <v>806</v>
      </c>
      <c r="AIN3" t="s">
        <v>807</v>
      </c>
      <c r="AIO3" t="s">
        <v>808</v>
      </c>
      <c r="AIP3" t="s">
        <v>809</v>
      </c>
      <c r="AIQ3" t="s">
        <v>810</v>
      </c>
      <c r="AIR3" t="s">
        <v>811</v>
      </c>
      <c r="AIS3" t="s">
        <v>812</v>
      </c>
      <c r="AIT3" t="s">
        <v>813</v>
      </c>
      <c r="AIU3" t="s">
        <v>814</v>
      </c>
      <c r="AIV3" t="s">
        <v>815</v>
      </c>
      <c r="AIW3" t="s">
        <v>812</v>
      </c>
      <c r="AIX3" t="s">
        <v>813</v>
      </c>
      <c r="AIY3" t="s">
        <v>814</v>
      </c>
      <c r="AIZ3" t="s">
        <v>816</v>
      </c>
      <c r="AJA3" t="s">
        <v>812</v>
      </c>
      <c r="AJB3" t="s">
        <v>809</v>
      </c>
      <c r="AJC3" t="s">
        <v>810</v>
      </c>
      <c r="AJD3" t="s">
        <v>817</v>
      </c>
      <c r="AJE3" t="s">
        <v>809</v>
      </c>
      <c r="AJF3" t="s">
        <v>818</v>
      </c>
      <c r="AJG3" t="s">
        <v>819</v>
      </c>
      <c r="AJH3" t="s">
        <v>820</v>
      </c>
      <c r="AJI3" t="s">
        <v>821</v>
      </c>
      <c r="AJJ3" t="s">
        <v>809</v>
      </c>
      <c r="AJK3" t="s">
        <v>822</v>
      </c>
      <c r="AJL3" t="s">
        <v>823</v>
      </c>
      <c r="AJM3" t="s">
        <v>824</v>
      </c>
      <c r="AJN3" t="s">
        <v>825</v>
      </c>
      <c r="AJO3" t="s">
        <v>826</v>
      </c>
      <c r="AJP3" t="s">
        <v>827</v>
      </c>
      <c r="AJQ3" t="s">
        <v>828</v>
      </c>
      <c r="AJR3" t="s">
        <v>829</v>
      </c>
      <c r="AJS3" t="s">
        <v>830</v>
      </c>
      <c r="AJT3" t="s">
        <v>831</v>
      </c>
      <c r="AJU3" t="s">
        <v>812</v>
      </c>
      <c r="AJV3" t="s">
        <v>832</v>
      </c>
      <c r="AJW3" t="s">
        <v>833</v>
      </c>
      <c r="AJX3" t="s">
        <v>834</v>
      </c>
      <c r="AJY3" t="s">
        <v>44</v>
      </c>
      <c r="AJZ3" t="s">
        <v>835</v>
      </c>
      <c r="AKA3" t="s">
        <v>836</v>
      </c>
      <c r="AKB3" t="s">
        <v>837</v>
      </c>
      <c r="AKC3" t="s">
        <v>44</v>
      </c>
      <c r="AKD3" t="s">
        <v>838</v>
      </c>
      <c r="AKE3" t="s">
        <v>839</v>
      </c>
      <c r="AKF3" t="s">
        <v>840</v>
      </c>
      <c r="AKG3" t="s">
        <v>841</v>
      </c>
      <c r="AKH3" t="s">
        <v>842</v>
      </c>
      <c r="AKI3" t="s">
        <v>843</v>
      </c>
      <c r="AKJ3" t="s">
        <v>844</v>
      </c>
      <c r="AKK3" t="s">
        <v>845</v>
      </c>
      <c r="AKL3" t="s">
        <v>846</v>
      </c>
      <c r="AKM3" t="s">
        <v>847</v>
      </c>
      <c r="AKN3" t="s">
        <v>848</v>
      </c>
      <c r="AKO3" t="s">
        <v>849</v>
      </c>
      <c r="AKP3" t="s">
        <v>850</v>
      </c>
      <c r="AKQ3" t="s">
        <v>851</v>
      </c>
      <c r="AKR3" t="s">
        <v>852</v>
      </c>
      <c r="AKS3" t="s">
        <v>850</v>
      </c>
      <c r="AKT3" t="s">
        <v>853</v>
      </c>
      <c r="AKU3" t="s">
        <v>854</v>
      </c>
      <c r="AKV3" t="s">
        <v>855</v>
      </c>
      <c r="AKW3" t="s">
        <v>856</v>
      </c>
      <c r="AKX3" t="s">
        <v>857</v>
      </c>
      <c r="AKY3" t="s">
        <v>858</v>
      </c>
      <c r="AKZ3" t="s">
        <v>859</v>
      </c>
      <c r="ALA3" t="s">
        <v>860</v>
      </c>
      <c r="ALB3" t="s">
        <v>861</v>
      </c>
      <c r="ALC3" t="s">
        <v>862</v>
      </c>
      <c r="ALD3" t="s">
        <v>863</v>
      </c>
      <c r="ALE3" t="s">
        <v>864</v>
      </c>
      <c r="ALF3" t="s">
        <v>865</v>
      </c>
      <c r="ALG3" t="s">
        <v>866</v>
      </c>
      <c r="ALH3" t="s">
        <v>867</v>
      </c>
      <c r="ALI3" t="s">
        <v>44</v>
      </c>
      <c r="ALJ3" t="s">
        <v>243</v>
      </c>
      <c r="ALK3" t="s">
        <v>868</v>
      </c>
      <c r="ALL3" t="s">
        <v>837</v>
      </c>
      <c r="ALM3" t="s">
        <v>869</v>
      </c>
      <c r="ALN3" t="s">
        <v>870</v>
      </c>
      <c r="ALO3" t="s">
        <v>871</v>
      </c>
      <c r="ALP3" t="s">
        <v>872</v>
      </c>
      <c r="ALQ3" t="s">
        <v>873</v>
      </c>
      <c r="ALR3" t="s">
        <v>874</v>
      </c>
      <c r="ALS3" t="s">
        <v>875</v>
      </c>
      <c r="ALT3" t="s">
        <v>876</v>
      </c>
      <c r="ALU3" t="s">
        <v>877</v>
      </c>
      <c r="ALV3" t="s">
        <v>878</v>
      </c>
      <c r="ALW3" t="s">
        <v>879</v>
      </c>
      <c r="ALX3" t="s">
        <v>880</v>
      </c>
      <c r="ALY3" t="s">
        <v>881</v>
      </c>
      <c r="ALZ3" t="s">
        <v>882</v>
      </c>
      <c r="AMA3" t="s">
        <v>883</v>
      </c>
      <c r="AMB3" t="s">
        <v>884</v>
      </c>
      <c r="AMC3" t="s">
        <v>885</v>
      </c>
      <c r="AMD3" t="s">
        <v>886</v>
      </c>
      <c r="AME3" t="s">
        <v>887</v>
      </c>
      <c r="AMF3" t="s">
        <v>888</v>
      </c>
      <c r="AMG3" t="s">
        <v>44</v>
      </c>
      <c r="AMH3" t="s">
        <v>835</v>
      </c>
      <c r="AMI3" t="s">
        <v>836</v>
      </c>
      <c r="AMJ3" t="s">
        <v>889</v>
      </c>
      <c r="AMK3" t="s">
        <v>890</v>
      </c>
      <c r="AML3" t="s">
        <v>891</v>
      </c>
      <c r="AMM3" t="s">
        <v>892</v>
      </c>
      <c r="AMN3" t="s">
        <v>893</v>
      </c>
      <c r="AMO3" t="s">
        <v>894</v>
      </c>
      <c r="AMP3" t="s">
        <v>895</v>
      </c>
      <c r="AMQ3" t="s">
        <v>125</v>
      </c>
      <c r="AMR3" t="s">
        <v>254</v>
      </c>
      <c r="AMS3" t="s">
        <v>896</v>
      </c>
      <c r="AMT3" t="s">
        <v>897</v>
      </c>
      <c r="AMU3" t="s">
        <v>898</v>
      </c>
      <c r="AMV3" t="s">
        <v>899</v>
      </c>
      <c r="AMW3" t="s">
        <v>900</v>
      </c>
      <c r="AMX3" t="s">
        <v>861</v>
      </c>
      <c r="AMY3" t="s">
        <v>901</v>
      </c>
      <c r="AMZ3" t="s">
        <v>861</v>
      </c>
      <c r="ANA3" t="s">
        <v>902</v>
      </c>
      <c r="ANB3" t="s">
        <v>903</v>
      </c>
      <c r="ANC3" t="s">
        <v>904</v>
      </c>
      <c r="AND3" t="s">
        <v>905</v>
      </c>
      <c r="ANE3" t="s">
        <v>906</v>
      </c>
      <c r="ANF3" t="s">
        <v>125</v>
      </c>
      <c r="ANG3" t="s">
        <v>254</v>
      </c>
      <c r="ANH3" t="s">
        <v>896</v>
      </c>
      <c r="ANI3" t="s">
        <v>907</v>
      </c>
      <c r="ANJ3" t="s">
        <v>908</v>
      </c>
      <c r="ANK3" t="s">
        <v>909</v>
      </c>
      <c r="ANL3" t="s">
        <v>910</v>
      </c>
      <c r="ANM3" t="s">
        <v>911</v>
      </c>
      <c r="ANN3" t="s">
        <v>912</v>
      </c>
      <c r="ANO3" t="s">
        <v>913</v>
      </c>
      <c r="ANP3" t="s">
        <v>267</v>
      </c>
      <c r="ANQ3" t="s">
        <v>914</v>
      </c>
      <c r="ANR3" t="s">
        <v>915</v>
      </c>
      <c r="ANS3" t="s">
        <v>125</v>
      </c>
      <c r="ANT3" t="s">
        <v>916</v>
      </c>
      <c r="ANU3" t="s">
        <v>917</v>
      </c>
      <c r="ANV3" t="s">
        <v>918</v>
      </c>
      <c r="ANW3" t="s">
        <v>919</v>
      </c>
      <c r="ANX3" t="s">
        <v>920</v>
      </c>
      <c r="ANY3" t="s">
        <v>921</v>
      </c>
      <c r="ANZ3" t="s">
        <v>922</v>
      </c>
      <c r="AOA3" t="s">
        <v>923</v>
      </c>
      <c r="AOB3" t="s">
        <v>924</v>
      </c>
      <c r="AOC3" t="s">
        <v>925</v>
      </c>
      <c r="AOD3" t="s">
        <v>319</v>
      </c>
      <c r="AOE3" t="s">
        <v>926</v>
      </c>
      <c r="AOF3" t="s">
        <v>927</v>
      </c>
      <c r="AOG3" t="s">
        <v>928</v>
      </c>
      <c r="AOH3" t="s">
        <v>929</v>
      </c>
      <c r="AOI3" t="s">
        <v>930</v>
      </c>
      <c r="AOJ3" t="s">
        <v>931</v>
      </c>
      <c r="AOK3" t="s">
        <v>932</v>
      </c>
      <c r="AOL3" t="s">
        <v>933</v>
      </c>
      <c r="AOM3" t="s">
        <v>934</v>
      </c>
      <c r="AON3" t="s">
        <v>44</v>
      </c>
      <c r="AOO3" t="s">
        <v>333</v>
      </c>
      <c r="AOP3" t="s">
        <v>334</v>
      </c>
      <c r="AOQ3" t="s">
        <v>935</v>
      </c>
      <c r="AOR3" t="s">
        <v>936</v>
      </c>
      <c r="AOS3" t="s">
        <v>937</v>
      </c>
      <c r="AOT3" t="s">
        <v>938</v>
      </c>
      <c r="AOU3" t="s">
        <v>939</v>
      </c>
      <c r="AOV3" t="s">
        <v>940</v>
      </c>
      <c r="AOW3" t="s">
        <v>941</v>
      </c>
      <c r="AOX3" t="s">
        <v>942</v>
      </c>
      <c r="AOY3" t="s">
        <v>943</v>
      </c>
      <c r="AOZ3" t="s">
        <v>944</v>
      </c>
      <c r="APA3" t="s">
        <v>945</v>
      </c>
      <c r="APB3" t="s">
        <v>946</v>
      </c>
      <c r="APC3" t="s">
        <v>947</v>
      </c>
      <c r="APD3" t="s">
        <v>125</v>
      </c>
      <c r="APE3" t="s">
        <v>126</v>
      </c>
      <c r="APF3" t="s">
        <v>948</v>
      </c>
      <c r="APG3" t="s">
        <v>949</v>
      </c>
      <c r="APH3" t="s">
        <v>950</v>
      </c>
      <c r="API3" t="s">
        <v>951</v>
      </c>
      <c r="APJ3" t="s">
        <v>952</v>
      </c>
      <c r="APK3" t="s">
        <v>953</v>
      </c>
      <c r="APL3" t="s">
        <v>954</v>
      </c>
      <c r="APM3" t="s">
        <v>955</v>
      </c>
      <c r="APN3" t="s">
        <v>956</v>
      </c>
      <c r="APO3" t="s">
        <v>957</v>
      </c>
      <c r="APP3" t="s">
        <v>958</v>
      </c>
      <c r="APQ3" t="s">
        <v>959</v>
      </c>
      <c r="APR3" t="s">
        <v>960</v>
      </c>
      <c r="APS3" t="s">
        <v>961</v>
      </c>
      <c r="APT3" t="s">
        <v>962</v>
      </c>
      <c r="APU3" t="s">
        <v>963</v>
      </c>
      <c r="APV3" t="s">
        <v>964</v>
      </c>
      <c r="APW3" t="s">
        <v>965</v>
      </c>
      <c r="APX3" t="s">
        <v>966</v>
      </c>
      <c r="APY3" t="s">
        <v>967</v>
      </c>
      <c r="APZ3" t="s">
        <v>968</v>
      </c>
      <c r="AQA3" t="s">
        <v>969</v>
      </c>
      <c r="AQB3" t="s">
        <v>970</v>
      </c>
      <c r="AQC3" t="s">
        <v>971</v>
      </c>
      <c r="AQD3" t="s">
        <v>972</v>
      </c>
      <c r="AQE3" t="s">
        <v>973</v>
      </c>
      <c r="AQF3" t="s">
        <v>974</v>
      </c>
      <c r="AQG3" t="s">
        <v>975</v>
      </c>
      <c r="AQH3" t="s">
        <v>976</v>
      </c>
      <c r="AQI3" t="s">
        <v>977</v>
      </c>
      <c r="AQJ3" t="s">
        <v>978</v>
      </c>
      <c r="AQK3" t="s">
        <v>979</v>
      </c>
      <c r="AQL3" t="s">
        <v>980</v>
      </c>
      <c r="AQM3" t="s">
        <v>981</v>
      </c>
      <c r="AQN3" t="s">
        <v>982</v>
      </c>
      <c r="AQO3" t="s">
        <v>983</v>
      </c>
      <c r="AQP3" t="s">
        <v>44</v>
      </c>
      <c r="AQQ3" t="s">
        <v>984</v>
      </c>
      <c r="AQR3" t="s">
        <v>985</v>
      </c>
      <c r="AQS3" t="s">
        <v>986</v>
      </c>
      <c r="AQT3" t="s">
        <v>987</v>
      </c>
      <c r="AQU3" t="s">
        <v>988</v>
      </c>
      <c r="AQV3" t="s">
        <v>989</v>
      </c>
      <c r="AQW3" t="s">
        <v>990</v>
      </c>
      <c r="AQX3" t="s">
        <v>991</v>
      </c>
      <c r="AQY3" t="s">
        <v>992</v>
      </c>
      <c r="AQZ3" t="s">
        <v>993</v>
      </c>
      <c r="ARA3" t="s">
        <v>994</v>
      </c>
      <c r="ARB3" t="s">
        <v>44</v>
      </c>
      <c r="ARC3" t="s">
        <v>995</v>
      </c>
      <c r="ARD3" t="s">
        <v>996</v>
      </c>
      <c r="ARE3" t="s">
        <v>997</v>
      </c>
      <c r="ARF3" t="s">
        <v>998</v>
      </c>
      <c r="ARG3" t="s">
        <v>999</v>
      </c>
      <c r="ARH3" t="s">
        <v>1000</v>
      </c>
      <c r="ARI3" t="s">
        <v>1001</v>
      </c>
      <c r="ARJ3" t="s">
        <v>1002</v>
      </c>
      <c r="ARK3" t="s">
        <v>1003</v>
      </c>
      <c r="ARL3" t="s">
        <v>1004</v>
      </c>
      <c r="ARM3" t="s">
        <v>1005</v>
      </c>
      <c r="ARN3" t="s">
        <v>1006</v>
      </c>
      <c r="ARO3" t="s">
        <v>1007</v>
      </c>
      <c r="ARP3" t="s">
        <v>1008</v>
      </c>
      <c r="ARQ3" t="s">
        <v>1009</v>
      </c>
      <c r="ARR3" t="s">
        <v>1010</v>
      </c>
      <c r="ARS3" t="s">
        <v>1011</v>
      </c>
      <c r="ART3" t="s">
        <v>1012</v>
      </c>
      <c r="ARU3" t="s">
        <v>1013</v>
      </c>
      <c r="ARV3" t="s">
        <v>1014</v>
      </c>
      <c r="ARW3" t="s">
        <v>44</v>
      </c>
      <c r="ARX3" t="s">
        <v>1015</v>
      </c>
      <c r="ARY3" t="s">
        <v>1016</v>
      </c>
      <c r="ARZ3" t="s">
        <v>1017</v>
      </c>
      <c r="ASA3" t="s">
        <v>1018</v>
      </c>
      <c r="ASB3" t="s">
        <v>1019</v>
      </c>
      <c r="ASC3" t="s">
        <v>1020</v>
      </c>
      <c r="ASD3" t="s">
        <v>828</v>
      </c>
      <c r="ASE3" t="s">
        <v>1021</v>
      </c>
      <c r="ASF3" t="s">
        <v>1022</v>
      </c>
      <c r="ASG3" t="s">
        <v>828</v>
      </c>
      <c r="ASH3" t="s">
        <v>1023</v>
      </c>
      <c r="ASI3" t="s">
        <v>1024</v>
      </c>
      <c r="ASJ3" t="s">
        <v>1025</v>
      </c>
      <c r="ASK3" t="s">
        <v>1026</v>
      </c>
      <c r="ASL3" t="s">
        <v>828</v>
      </c>
      <c r="ASM3" t="s">
        <v>1027</v>
      </c>
      <c r="ASN3" t="s">
        <v>1028</v>
      </c>
      <c r="ASO3" t="s">
        <v>1029</v>
      </c>
      <c r="ASP3" t="s">
        <v>1030</v>
      </c>
      <c r="ASQ3" t="s">
        <v>1031</v>
      </c>
      <c r="ASR3" t="s">
        <v>44</v>
      </c>
      <c r="ASS3" t="s">
        <v>243</v>
      </c>
      <c r="AST3" t="s">
        <v>244</v>
      </c>
      <c r="ASU3" t="s">
        <v>1032</v>
      </c>
      <c r="ASV3" t="s">
        <v>1033</v>
      </c>
      <c r="ASW3" t="s">
        <v>1034</v>
      </c>
      <c r="ASX3" t="s">
        <v>1035</v>
      </c>
      <c r="ASY3" t="s">
        <v>44</v>
      </c>
      <c r="ASZ3" t="s">
        <v>47</v>
      </c>
      <c r="ATA3" t="s">
        <v>125</v>
      </c>
      <c r="ATB3" t="s">
        <v>1036</v>
      </c>
      <c r="ATC3" t="s">
        <v>1037</v>
      </c>
      <c r="ATD3" t="s">
        <v>1038</v>
      </c>
      <c r="ATE3" t="s">
        <v>48</v>
      </c>
      <c r="ATF3" t="s">
        <v>1039</v>
      </c>
      <c r="ATG3" t="s">
        <v>1040</v>
      </c>
      <c r="ATH3" t="s">
        <v>48</v>
      </c>
      <c r="ATI3" t="s">
        <v>1041</v>
      </c>
      <c r="ATJ3" t="s">
        <v>255</v>
      </c>
      <c r="ATK3" t="s">
        <v>1042</v>
      </c>
      <c r="ATL3" t="s">
        <v>1043</v>
      </c>
      <c r="ATM3" t="s">
        <v>896</v>
      </c>
      <c r="ATN3" t="s">
        <v>1044</v>
      </c>
      <c r="ATO3" t="s">
        <v>1045</v>
      </c>
      <c r="ATP3" t="s">
        <v>48</v>
      </c>
      <c r="ATQ3" t="s">
        <v>44</v>
      </c>
      <c r="ATR3" t="s">
        <v>254</v>
      </c>
      <c r="ATS3" t="s">
        <v>1046</v>
      </c>
      <c r="ATT3" t="s">
        <v>1047</v>
      </c>
      <c r="ATU3" t="s">
        <v>1048</v>
      </c>
      <c r="ATV3" t="s">
        <v>44</v>
      </c>
      <c r="ATW3" t="s">
        <v>79</v>
      </c>
      <c r="ATX3" t="s">
        <v>1049</v>
      </c>
      <c r="ATY3" t="s">
        <v>1050</v>
      </c>
      <c r="ATZ3">
        <v>0</v>
      </c>
      <c r="AUA3" t="s">
        <v>1051</v>
      </c>
      <c r="AUB3" t="s">
        <v>1052</v>
      </c>
      <c r="AUC3" t="s">
        <v>1053</v>
      </c>
      <c r="AUD3">
        <v>255</v>
      </c>
      <c r="AUE3" t="s">
        <v>1054</v>
      </c>
      <c r="AUF3" t="s">
        <v>1055</v>
      </c>
      <c r="AUG3" t="s">
        <v>1056</v>
      </c>
      <c r="AUH3">
        <v>29</v>
      </c>
      <c r="AUI3" t="s">
        <v>1057</v>
      </c>
      <c r="AUJ3" t="s">
        <v>1058</v>
      </c>
      <c r="AUK3" t="s">
        <v>1059</v>
      </c>
      <c r="AUL3">
        <v>52</v>
      </c>
      <c r="AUM3" t="s">
        <v>1060</v>
      </c>
      <c r="AUN3" t="s">
        <v>1061</v>
      </c>
      <c r="AUO3" t="s">
        <v>1062</v>
      </c>
      <c r="AUP3">
        <v>94</v>
      </c>
      <c r="AUQ3" t="s">
        <v>1063</v>
      </c>
      <c r="AUR3" t="s">
        <v>1064</v>
      </c>
      <c r="AUS3" t="s">
        <v>1065</v>
      </c>
      <c r="AUT3">
        <v>145</v>
      </c>
      <c r="AUU3" t="s">
        <v>1066</v>
      </c>
      <c r="AUV3" t="s">
        <v>1067</v>
      </c>
      <c r="AUW3" t="s">
        <v>1068</v>
      </c>
      <c r="AUX3">
        <v>182</v>
      </c>
      <c r="AUY3" t="s">
        <v>1069</v>
      </c>
      <c r="AUZ3" t="s">
        <v>1070</v>
      </c>
      <c r="AVA3" t="s">
        <v>1071</v>
      </c>
      <c r="AVB3">
        <v>205</v>
      </c>
      <c r="AVC3" t="s">
        <v>1072</v>
      </c>
      <c r="AVD3" t="s">
        <v>1073</v>
      </c>
      <c r="AVE3" t="s">
        <v>1074</v>
      </c>
      <c r="AVF3">
        <v>233</v>
      </c>
      <c r="AVG3" t="s">
        <v>1075</v>
      </c>
      <c r="AVH3" t="s">
        <v>1076</v>
      </c>
      <c r="AVI3" t="s">
        <v>1077</v>
      </c>
      <c r="AVJ3">
        <v>248</v>
      </c>
      <c r="AVK3" t="s">
        <v>1078</v>
      </c>
      <c r="AVL3" t="s">
        <v>1052</v>
      </c>
      <c r="AVM3" t="s">
        <v>1053</v>
      </c>
      <c r="AVN3">
        <v>255</v>
      </c>
      <c r="AVO3" t="s">
        <v>1079</v>
      </c>
      <c r="AVP3" t="s">
        <v>1080</v>
      </c>
      <c r="AVQ3" t="s">
        <v>1050</v>
      </c>
      <c r="AVR3">
        <v>68</v>
      </c>
      <c r="AVS3" t="s">
        <v>1081</v>
      </c>
      <c r="AVT3" t="s">
        <v>1058</v>
      </c>
      <c r="AVU3" t="s">
        <v>1050</v>
      </c>
      <c r="AVV3">
        <v>109</v>
      </c>
      <c r="AVW3" t="s">
        <v>1082</v>
      </c>
      <c r="AVX3" t="s">
        <v>1061</v>
      </c>
      <c r="AVY3" t="s">
        <v>1083</v>
      </c>
      <c r="AVZ3">
        <v>139</v>
      </c>
      <c r="AWA3" t="s">
        <v>1084</v>
      </c>
      <c r="AWB3" t="s">
        <v>1064</v>
      </c>
      <c r="AWC3" t="s">
        <v>1068</v>
      </c>
      <c r="AWD3">
        <v>171</v>
      </c>
      <c r="AWE3" t="s">
        <v>1085</v>
      </c>
      <c r="AWF3" t="s">
        <v>1067</v>
      </c>
      <c r="AWG3" t="s">
        <v>1086</v>
      </c>
      <c r="AWH3">
        <v>196</v>
      </c>
      <c r="AWI3" t="s">
        <v>1087</v>
      </c>
      <c r="AWJ3" t="s">
        <v>1070</v>
      </c>
      <c r="AWK3" t="s">
        <v>1088</v>
      </c>
      <c r="AWL3">
        <v>217</v>
      </c>
      <c r="AWM3" t="s">
        <v>1089</v>
      </c>
      <c r="AWN3" t="s">
        <v>1073</v>
      </c>
      <c r="AWO3" t="s">
        <v>1074</v>
      </c>
      <c r="AWP3">
        <v>233</v>
      </c>
      <c r="AWQ3" t="s">
        <v>1066</v>
      </c>
      <c r="AWR3" t="s">
        <v>1076</v>
      </c>
      <c r="AWS3" t="s">
        <v>1090</v>
      </c>
      <c r="AWT3">
        <v>245</v>
      </c>
      <c r="AWU3" t="s">
        <v>1091</v>
      </c>
      <c r="AWV3" t="s">
        <v>1052</v>
      </c>
      <c r="AWW3" t="s">
        <v>1092</v>
      </c>
      <c r="AWX3">
        <v>252</v>
      </c>
      <c r="AWY3" t="s">
        <v>1093</v>
      </c>
      <c r="AWZ3" t="s">
        <v>1094</v>
      </c>
      <c r="AXA3" t="s">
        <v>1095</v>
      </c>
      <c r="AXB3">
        <v>0</v>
      </c>
      <c r="AXC3" t="s">
        <v>1096</v>
      </c>
      <c r="AXD3" t="s">
        <v>1058</v>
      </c>
      <c r="AXE3" t="s">
        <v>1097</v>
      </c>
      <c r="AXF3">
        <v>0</v>
      </c>
      <c r="AXG3" t="s">
        <v>1096</v>
      </c>
      <c r="AXH3" t="s">
        <v>1061</v>
      </c>
      <c r="AXI3" t="s">
        <v>1098</v>
      </c>
      <c r="AXJ3">
        <v>26</v>
      </c>
      <c r="AXK3" t="s">
        <v>1099</v>
      </c>
      <c r="AXL3" t="s">
        <v>1064</v>
      </c>
      <c r="AXM3" t="s">
        <v>1100</v>
      </c>
      <c r="AXN3">
        <v>78</v>
      </c>
      <c r="AXO3" t="s">
        <v>1101</v>
      </c>
      <c r="AXP3" t="s">
        <v>1067</v>
      </c>
      <c r="AXQ3" t="s">
        <v>1102</v>
      </c>
      <c r="AXR3">
        <v>141</v>
      </c>
      <c r="AXS3" t="s">
        <v>1103</v>
      </c>
      <c r="AXT3" t="s">
        <v>1070</v>
      </c>
      <c r="AXU3" t="s">
        <v>1104</v>
      </c>
      <c r="AXV3">
        <v>178</v>
      </c>
      <c r="AXW3" t="s">
        <v>1105</v>
      </c>
      <c r="AXX3" t="s">
        <v>1073</v>
      </c>
      <c r="AXY3" t="s">
        <v>1104</v>
      </c>
      <c r="AXZ3">
        <v>217</v>
      </c>
      <c r="AYA3" t="s">
        <v>1087</v>
      </c>
      <c r="AYB3" t="s">
        <v>1076</v>
      </c>
      <c r="AYC3" t="s">
        <v>1053</v>
      </c>
      <c r="AYD3">
        <v>237</v>
      </c>
      <c r="AYE3" t="s">
        <v>1106</v>
      </c>
      <c r="AYF3" t="s">
        <v>1052</v>
      </c>
      <c r="AYG3" t="s">
        <v>1053</v>
      </c>
      <c r="AYH3">
        <v>255</v>
      </c>
      <c r="AYI3" t="s">
        <v>1107</v>
      </c>
      <c r="AYJ3" t="s">
        <v>1108</v>
      </c>
      <c r="AYK3" t="s">
        <v>1050</v>
      </c>
      <c r="AYL3">
        <v>0</v>
      </c>
      <c r="AYM3" t="s">
        <v>1109</v>
      </c>
      <c r="AYN3" t="s">
        <v>1052</v>
      </c>
      <c r="AYO3" t="s">
        <v>1053</v>
      </c>
      <c r="AYP3">
        <v>0</v>
      </c>
      <c r="AYQ3" t="s">
        <v>1110</v>
      </c>
      <c r="AYR3" t="s">
        <v>1111</v>
      </c>
      <c r="AYS3" t="s">
        <v>1112</v>
      </c>
      <c r="AYT3">
        <v>10</v>
      </c>
      <c r="AYU3" t="s">
        <v>1113</v>
      </c>
      <c r="AYV3" t="s">
        <v>1114</v>
      </c>
      <c r="AYW3" t="s">
        <v>1115</v>
      </c>
      <c r="AYX3">
        <v>137</v>
      </c>
      <c r="AYY3" t="s">
        <v>1116</v>
      </c>
      <c r="AYZ3" t="s">
        <v>1067</v>
      </c>
      <c r="AZA3" t="s">
        <v>1117</v>
      </c>
      <c r="AZB3">
        <v>190</v>
      </c>
      <c r="AZC3" t="s">
        <v>1118</v>
      </c>
      <c r="AZD3" t="s">
        <v>1119</v>
      </c>
      <c r="AZE3" t="s">
        <v>1120</v>
      </c>
      <c r="AZF3">
        <v>170</v>
      </c>
      <c r="AZG3" t="s">
        <v>1121</v>
      </c>
      <c r="AZH3" t="s">
        <v>1122</v>
      </c>
      <c r="AZI3" t="s">
        <v>1123</v>
      </c>
      <c r="AZJ3">
        <v>145</v>
      </c>
      <c r="AZK3" t="s">
        <v>1124</v>
      </c>
      <c r="AZL3" t="s">
        <v>1052</v>
      </c>
      <c r="AZM3" t="s">
        <v>1125</v>
      </c>
      <c r="AZN3">
        <v>10</v>
      </c>
      <c r="AZO3" t="s">
        <v>1126</v>
      </c>
      <c r="AZP3" t="s">
        <v>1127</v>
      </c>
      <c r="AZQ3" t="s">
        <v>1120</v>
      </c>
      <c r="AZR3">
        <v>220</v>
      </c>
      <c r="AZS3" t="s">
        <v>1128</v>
      </c>
      <c r="AZT3" t="s">
        <v>1129</v>
      </c>
      <c r="AZU3" t="s">
        <v>1130</v>
      </c>
      <c r="AZV3">
        <v>195</v>
      </c>
      <c r="AZW3" t="s">
        <v>1131</v>
      </c>
      <c r="AZX3" t="s">
        <v>1132</v>
      </c>
      <c r="AZY3" t="s">
        <v>1130</v>
      </c>
      <c r="AZZ3">
        <v>160</v>
      </c>
      <c r="BAA3" t="s">
        <v>1133</v>
      </c>
      <c r="BAB3" t="s">
        <v>1052</v>
      </c>
      <c r="BAC3" t="s">
        <v>1125</v>
      </c>
      <c r="BAD3">
        <v>10</v>
      </c>
      <c r="BAE3" t="s">
        <v>1126</v>
      </c>
      <c r="BAF3" t="s">
        <v>1134</v>
      </c>
      <c r="BAG3" t="s">
        <v>1112</v>
      </c>
      <c r="BAH3">
        <v>10</v>
      </c>
      <c r="BAI3" t="s">
        <v>1113</v>
      </c>
      <c r="BAJ3" t="s">
        <v>1114</v>
      </c>
      <c r="BAK3" t="s">
        <v>1135</v>
      </c>
      <c r="BAL3">
        <v>60</v>
      </c>
      <c r="BAM3" t="s">
        <v>1118</v>
      </c>
      <c r="BAN3" t="s">
        <v>1067</v>
      </c>
      <c r="BAO3" t="s">
        <v>1136</v>
      </c>
      <c r="BAP3">
        <v>100</v>
      </c>
      <c r="BAQ3" t="s">
        <v>1137</v>
      </c>
      <c r="BAR3" t="s">
        <v>1119</v>
      </c>
      <c r="BAS3" t="s">
        <v>1138</v>
      </c>
      <c r="BAT3">
        <v>120</v>
      </c>
      <c r="BAU3" t="s">
        <v>1137</v>
      </c>
      <c r="BAV3" t="s">
        <v>1122</v>
      </c>
      <c r="BAW3" t="s">
        <v>1115</v>
      </c>
      <c r="BAX3">
        <v>137</v>
      </c>
      <c r="BAY3" t="s">
        <v>1116</v>
      </c>
      <c r="BAZ3" t="s">
        <v>1052</v>
      </c>
      <c r="BBA3" t="s">
        <v>1120</v>
      </c>
      <c r="BBB3">
        <v>220</v>
      </c>
      <c r="BBC3" t="s">
        <v>1139</v>
      </c>
      <c r="BBD3" t="s">
        <v>1140</v>
      </c>
      <c r="BBE3" t="s">
        <v>1050</v>
      </c>
      <c r="BBF3">
        <v>0</v>
      </c>
      <c r="BBG3" t="s">
        <v>1109</v>
      </c>
      <c r="BBH3" t="s">
        <v>1141</v>
      </c>
      <c r="BBI3" t="s">
        <v>1142</v>
      </c>
      <c r="BBJ3">
        <v>153</v>
      </c>
      <c r="BBK3" t="s">
        <v>1109</v>
      </c>
      <c r="BBL3" t="s">
        <v>1129</v>
      </c>
      <c r="BBM3" t="s">
        <v>1143</v>
      </c>
      <c r="BBN3">
        <v>204</v>
      </c>
      <c r="BBO3" t="s">
        <v>1109</v>
      </c>
      <c r="BBP3" t="s">
        <v>1144</v>
      </c>
      <c r="BBQ3" t="s">
        <v>1145</v>
      </c>
      <c r="BBR3">
        <v>204</v>
      </c>
      <c r="BBS3" t="s">
        <v>1109</v>
      </c>
      <c r="BBT3" t="s">
        <v>1132</v>
      </c>
      <c r="BBU3" t="s">
        <v>1146</v>
      </c>
      <c r="BBV3">
        <v>204</v>
      </c>
      <c r="BBW3" t="s">
        <v>1109</v>
      </c>
      <c r="BBX3" t="s">
        <v>1067</v>
      </c>
      <c r="BBY3" t="s">
        <v>1053</v>
      </c>
      <c r="BBZ3">
        <v>255</v>
      </c>
      <c r="BCA3" t="s">
        <v>1109</v>
      </c>
      <c r="BCB3" t="s">
        <v>1119</v>
      </c>
      <c r="BCC3" t="s">
        <v>1053</v>
      </c>
      <c r="BCD3">
        <v>204</v>
      </c>
      <c r="BCE3" t="s">
        <v>1109</v>
      </c>
      <c r="BCF3" t="s">
        <v>1122</v>
      </c>
      <c r="BCG3" t="s">
        <v>1053</v>
      </c>
      <c r="BCH3">
        <v>153</v>
      </c>
      <c r="BCI3" t="s">
        <v>1109</v>
      </c>
      <c r="BCJ3" t="s">
        <v>1147</v>
      </c>
      <c r="BCK3" t="s">
        <v>1053</v>
      </c>
      <c r="BCL3">
        <v>102</v>
      </c>
      <c r="BCM3" t="s">
        <v>1148</v>
      </c>
      <c r="BCN3" t="s">
        <v>1149</v>
      </c>
      <c r="BCO3" t="s">
        <v>1053</v>
      </c>
      <c r="BCP3">
        <v>102</v>
      </c>
      <c r="BCQ3" t="s">
        <v>1150</v>
      </c>
      <c r="BCR3" t="s">
        <v>1052</v>
      </c>
      <c r="BCS3" t="s">
        <v>1053</v>
      </c>
      <c r="BCT3">
        <v>0</v>
      </c>
      <c r="BCU3" t="s">
        <v>1110</v>
      </c>
      <c r="BCV3" t="s">
        <v>1151</v>
      </c>
      <c r="BCW3" t="s">
        <v>1152</v>
      </c>
      <c r="BCX3">
        <v>0</v>
      </c>
      <c r="BCY3" t="s">
        <v>1124</v>
      </c>
      <c r="BCZ3" t="s">
        <v>1058</v>
      </c>
      <c r="BDA3" t="s">
        <v>1050</v>
      </c>
      <c r="BDB3">
        <v>0</v>
      </c>
      <c r="BDC3" t="s">
        <v>1153</v>
      </c>
      <c r="BDD3" t="s">
        <v>1061</v>
      </c>
      <c r="BDE3" t="s">
        <v>1050</v>
      </c>
      <c r="BDF3">
        <v>25</v>
      </c>
      <c r="BDG3" t="s">
        <v>1109</v>
      </c>
      <c r="BDH3" t="s">
        <v>1064</v>
      </c>
      <c r="BDI3" t="s">
        <v>1050</v>
      </c>
      <c r="BDJ3">
        <v>152</v>
      </c>
      <c r="BDK3" t="s">
        <v>1109</v>
      </c>
      <c r="BDL3" t="s">
        <v>1067</v>
      </c>
      <c r="BDM3" t="s">
        <v>1154</v>
      </c>
      <c r="BDN3">
        <v>255</v>
      </c>
      <c r="BDO3" t="s">
        <v>1155</v>
      </c>
      <c r="BDP3" t="s">
        <v>1070</v>
      </c>
      <c r="BDQ3" t="s">
        <v>1156</v>
      </c>
      <c r="BDR3">
        <v>255</v>
      </c>
      <c r="BDS3" t="s">
        <v>1051</v>
      </c>
      <c r="BDT3" t="s">
        <v>1073</v>
      </c>
      <c r="BDU3" t="s">
        <v>1053</v>
      </c>
      <c r="BDV3">
        <v>234</v>
      </c>
      <c r="BDW3" t="s">
        <v>1051</v>
      </c>
      <c r="BDX3" t="s">
        <v>1076</v>
      </c>
      <c r="BDY3" t="s">
        <v>1053</v>
      </c>
      <c r="BDZ3">
        <v>111</v>
      </c>
      <c r="BEA3" t="s">
        <v>1051</v>
      </c>
      <c r="BEB3" t="s">
        <v>1052</v>
      </c>
      <c r="BEC3" t="s">
        <v>1053</v>
      </c>
      <c r="BED3">
        <v>0</v>
      </c>
      <c r="BEE3" t="s">
        <v>1110</v>
      </c>
      <c r="BEF3" t="s">
        <v>1157</v>
      </c>
      <c r="BEG3" t="s">
        <v>1158</v>
      </c>
      <c r="BEH3">
        <v>51</v>
      </c>
      <c r="BEI3" t="s">
        <v>1159</v>
      </c>
      <c r="BEJ3" t="s">
        <v>1061</v>
      </c>
      <c r="BEK3" t="s">
        <v>1160</v>
      </c>
      <c r="BEL3">
        <v>136</v>
      </c>
      <c r="BEM3" t="s">
        <v>1161</v>
      </c>
      <c r="BEN3" t="s">
        <v>1067</v>
      </c>
      <c r="BEO3" t="s">
        <v>1162</v>
      </c>
      <c r="BEP3">
        <v>211</v>
      </c>
      <c r="BEQ3" t="s">
        <v>1163</v>
      </c>
      <c r="BER3" t="s">
        <v>1073</v>
      </c>
      <c r="BES3" t="s">
        <v>1162</v>
      </c>
      <c r="BET3">
        <v>143</v>
      </c>
      <c r="BEU3" t="s">
        <v>1163</v>
      </c>
      <c r="BEV3" t="s">
        <v>1052</v>
      </c>
      <c r="BEW3" t="s">
        <v>1164</v>
      </c>
      <c r="BEX3">
        <v>30</v>
      </c>
      <c r="BEY3" t="s">
        <v>1165</v>
      </c>
      <c r="BEZ3" t="s">
        <v>1166</v>
      </c>
      <c r="BFA3" t="s">
        <v>1050</v>
      </c>
      <c r="BFB3">
        <v>0</v>
      </c>
      <c r="BFC3" t="s">
        <v>1159</v>
      </c>
      <c r="BFD3" t="s">
        <v>1058</v>
      </c>
      <c r="BFE3" t="s">
        <v>1050</v>
      </c>
      <c r="BFF3">
        <v>60</v>
      </c>
      <c r="BFG3" t="s">
        <v>1167</v>
      </c>
      <c r="BFH3" t="s">
        <v>1064</v>
      </c>
      <c r="BFI3" t="s">
        <v>1112</v>
      </c>
      <c r="BFJ3">
        <v>255</v>
      </c>
      <c r="BFK3" t="s">
        <v>1109</v>
      </c>
      <c r="BFL3" t="s">
        <v>1070</v>
      </c>
      <c r="BFM3" t="s">
        <v>1053</v>
      </c>
      <c r="BFN3">
        <v>255</v>
      </c>
      <c r="BFO3" t="s">
        <v>1051</v>
      </c>
      <c r="BFP3" t="s">
        <v>1076</v>
      </c>
      <c r="BFQ3" t="s">
        <v>1168</v>
      </c>
      <c r="BFR3">
        <v>0</v>
      </c>
      <c r="BFS3" t="s">
        <v>1051</v>
      </c>
      <c r="BFT3" t="s">
        <v>1052</v>
      </c>
      <c r="BFU3" t="s">
        <v>1095</v>
      </c>
      <c r="BFV3">
        <v>0</v>
      </c>
      <c r="BFW3" t="s">
        <v>1110</v>
      </c>
      <c r="BFX3" t="s">
        <v>1169</v>
      </c>
      <c r="BFY3" t="s">
        <v>1050</v>
      </c>
      <c r="BFZ3">
        <v>0</v>
      </c>
      <c r="BGA3" t="s">
        <v>1051</v>
      </c>
      <c r="BGB3" t="s">
        <v>1144</v>
      </c>
      <c r="BGC3" t="s">
        <v>1123</v>
      </c>
      <c r="BGD3">
        <v>0</v>
      </c>
      <c r="BGE3" t="s">
        <v>1051</v>
      </c>
      <c r="BGF3" t="s">
        <v>1119</v>
      </c>
      <c r="BGG3" t="s">
        <v>1053</v>
      </c>
      <c r="BGH3">
        <v>210</v>
      </c>
      <c r="BGI3" t="s">
        <v>1051</v>
      </c>
      <c r="BGJ3" t="s">
        <v>1052</v>
      </c>
      <c r="BGK3" t="s">
        <v>1053</v>
      </c>
      <c r="BGL3">
        <v>255</v>
      </c>
      <c r="BGM3" t="s">
        <v>1054</v>
      </c>
      <c r="BGN3" t="s">
        <v>1170</v>
      </c>
      <c r="BGO3" t="s">
        <v>1050</v>
      </c>
      <c r="BGP3">
        <v>0</v>
      </c>
      <c r="BGQ3" t="s">
        <v>1051</v>
      </c>
      <c r="BGR3" t="s">
        <v>1129</v>
      </c>
      <c r="BGS3" t="s">
        <v>1123</v>
      </c>
      <c r="BGT3">
        <v>0</v>
      </c>
      <c r="BGU3" t="s">
        <v>1051</v>
      </c>
      <c r="BGV3" t="s">
        <v>1132</v>
      </c>
      <c r="BGW3" t="s">
        <v>1123</v>
      </c>
      <c r="BGX3">
        <v>210</v>
      </c>
      <c r="BGY3" t="s">
        <v>1051</v>
      </c>
      <c r="BGZ3" t="s">
        <v>1122</v>
      </c>
      <c r="BHA3" t="s">
        <v>1053</v>
      </c>
      <c r="BHB3">
        <v>255</v>
      </c>
      <c r="BHC3" t="s">
        <v>1109</v>
      </c>
      <c r="BHD3" t="s">
        <v>1052</v>
      </c>
      <c r="BHE3" t="s">
        <v>1171</v>
      </c>
      <c r="BHF3">
        <v>200</v>
      </c>
      <c r="BHG3" t="s">
        <v>1054</v>
      </c>
      <c r="BHH3" t="s">
        <v>1172</v>
      </c>
      <c r="BHI3" t="s">
        <v>1050</v>
      </c>
      <c r="BHJ3">
        <v>0</v>
      </c>
      <c r="BHK3" t="s">
        <v>1173</v>
      </c>
      <c r="BHL3" t="s">
        <v>1141</v>
      </c>
      <c r="BHM3" t="s">
        <v>1050</v>
      </c>
      <c r="BHN3">
        <v>180</v>
      </c>
      <c r="BHO3" t="s">
        <v>1075</v>
      </c>
      <c r="BHP3" t="s">
        <v>1129</v>
      </c>
      <c r="BHQ3" t="s">
        <v>1135</v>
      </c>
      <c r="BHR3">
        <v>210</v>
      </c>
      <c r="BHS3" t="s">
        <v>1174</v>
      </c>
      <c r="BHT3" t="s">
        <v>1132</v>
      </c>
      <c r="BHU3" t="s">
        <v>1123</v>
      </c>
      <c r="BHV3">
        <v>230</v>
      </c>
      <c r="BHW3" t="s">
        <v>1175</v>
      </c>
      <c r="BHX3" t="s">
        <v>1119</v>
      </c>
      <c r="BHY3" t="s">
        <v>1176</v>
      </c>
      <c r="BHZ3">
        <v>70</v>
      </c>
      <c r="BIA3" t="s">
        <v>1177</v>
      </c>
      <c r="BIB3" t="s">
        <v>1052</v>
      </c>
      <c r="BIC3" t="s">
        <v>1053</v>
      </c>
      <c r="BID3">
        <v>255</v>
      </c>
      <c r="BIE3" t="s">
        <v>1054</v>
      </c>
      <c r="BIF3" t="s">
        <v>1178</v>
      </c>
      <c r="BIG3" t="s">
        <v>1050</v>
      </c>
      <c r="BIH3">
        <v>0</v>
      </c>
      <c r="BII3" t="s">
        <v>1051</v>
      </c>
      <c r="BIJ3" t="s">
        <v>1179</v>
      </c>
      <c r="BIK3" t="s">
        <v>1180</v>
      </c>
      <c r="BIL3">
        <v>0</v>
      </c>
      <c r="BIM3" t="s">
        <v>1181</v>
      </c>
      <c r="BIN3" t="s">
        <v>1132</v>
      </c>
      <c r="BIO3" t="s">
        <v>1176</v>
      </c>
      <c r="BIP3">
        <v>0</v>
      </c>
      <c r="BIQ3" t="s">
        <v>1181</v>
      </c>
      <c r="BIR3" t="s">
        <v>1119</v>
      </c>
      <c r="BIS3" t="s">
        <v>1171</v>
      </c>
      <c r="BIT3">
        <v>90</v>
      </c>
      <c r="BIU3" t="s">
        <v>1051</v>
      </c>
      <c r="BIV3" t="s">
        <v>1147</v>
      </c>
      <c r="BIW3" t="s">
        <v>1123</v>
      </c>
      <c r="BIX3">
        <v>200</v>
      </c>
      <c r="BIY3" t="s">
        <v>1051</v>
      </c>
      <c r="BIZ3" t="s">
        <v>1052</v>
      </c>
      <c r="BJA3" t="s">
        <v>1053</v>
      </c>
      <c r="BJB3">
        <v>250</v>
      </c>
      <c r="BJC3" t="s">
        <v>1139</v>
      </c>
      <c r="BJD3" t="s">
        <v>1182</v>
      </c>
      <c r="BJE3" t="s">
        <v>1183</v>
      </c>
      <c r="BJF3" t="s">
        <v>1184</v>
      </c>
      <c r="BJG3" t="s">
        <v>1185</v>
      </c>
      <c r="BJH3" t="s">
        <v>1186</v>
      </c>
      <c r="BJI3" t="s">
        <v>1187</v>
      </c>
      <c r="BJJ3" t="s">
        <v>1188</v>
      </c>
      <c r="BJK3" t="s">
        <v>1189</v>
      </c>
      <c r="BJL3" t="s">
        <v>1190</v>
      </c>
      <c r="BJM3" t="s">
        <v>1191</v>
      </c>
      <c r="BJN3" t="s">
        <v>1192</v>
      </c>
      <c r="BJO3" t="s">
        <v>1193</v>
      </c>
      <c r="BJP3" t="s">
        <v>1194</v>
      </c>
      <c r="BJQ3" t="s">
        <v>1195</v>
      </c>
      <c r="BJR3" t="s">
        <v>1196</v>
      </c>
      <c r="BJS3" t="s">
        <v>1197</v>
      </c>
      <c r="BJT3" t="s">
        <v>1198</v>
      </c>
      <c r="BJU3" t="s">
        <v>1199</v>
      </c>
      <c r="BJV3" t="s">
        <v>1200</v>
      </c>
      <c r="BJW3" t="s">
        <v>1201</v>
      </c>
      <c r="BJX3" t="s">
        <v>1202</v>
      </c>
      <c r="BJY3" t="s">
        <v>1203</v>
      </c>
      <c r="BJZ3" t="s">
        <v>1204</v>
      </c>
      <c r="BKA3" t="s">
        <v>1205</v>
      </c>
      <c r="BKB3" t="s">
        <v>1206</v>
      </c>
      <c r="BKC3" t="s">
        <v>1207</v>
      </c>
      <c r="BKD3" t="s">
        <v>1208</v>
      </c>
      <c r="BKE3" t="s">
        <v>1209</v>
      </c>
      <c r="BKF3" t="s">
        <v>1210</v>
      </c>
      <c r="BKG3" t="s">
        <v>1211</v>
      </c>
      <c r="BKH3" t="s">
        <v>1212</v>
      </c>
      <c r="BKI3" t="s">
        <v>1213</v>
      </c>
      <c r="BKJ3" t="s">
        <v>1052</v>
      </c>
      <c r="BKK3" t="s">
        <v>1214</v>
      </c>
      <c r="BKL3" t="s">
        <v>1215</v>
      </c>
      <c r="BKM3" t="s">
        <v>1050</v>
      </c>
      <c r="BKN3">
        <v>32</v>
      </c>
      <c r="BKO3" t="s">
        <v>1105</v>
      </c>
      <c r="BKP3" t="s">
        <v>1216</v>
      </c>
      <c r="BKQ3" t="s">
        <v>1050</v>
      </c>
      <c r="BKR3">
        <v>42</v>
      </c>
      <c r="BKS3" t="s">
        <v>1150</v>
      </c>
      <c r="BKT3" t="s">
        <v>1217</v>
      </c>
      <c r="BKU3" t="s">
        <v>1050</v>
      </c>
      <c r="BKV3">
        <v>52</v>
      </c>
      <c r="BKW3" t="s">
        <v>1218</v>
      </c>
      <c r="BKX3" t="s">
        <v>1219</v>
      </c>
      <c r="BKY3" t="s">
        <v>1220</v>
      </c>
      <c r="BKZ3">
        <v>63</v>
      </c>
      <c r="BLA3" t="s">
        <v>1221</v>
      </c>
      <c r="BLB3" t="s">
        <v>1222</v>
      </c>
      <c r="BLC3" t="s">
        <v>1223</v>
      </c>
      <c r="BLD3">
        <v>74</v>
      </c>
      <c r="BLE3" t="s">
        <v>1224</v>
      </c>
      <c r="BLF3" t="s">
        <v>1225</v>
      </c>
      <c r="BLG3" t="s">
        <v>1226</v>
      </c>
      <c r="BLH3">
        <v>85</v>
      </c>
      <c r="BLI3" t="s">
        <v>1224</v>
      </c>
      <c r="BLJ3" t="s">
        <v>1227</v>
      </c>
      <c r="BLK3" t="s">
        <v>1228</v>
      </c>
      <c r="BLL3">
        <v>95</v>
      </c>
      <c r="BLM3" t="s">
        <v>1229</v>
      </c>
      <c r="BLN3" t="s">
        <v>1230</v>
      </c>
      <c r="BLO3" t="s">
        <v>1231</v>
      </c>
      <c r="BLP3">
        <v>106</v>
      </c>
      <c r="BLQ3" t="s">
        <v>1232</v>
      </c>
      <c r="BLR3" t="s">
        <v>1233</v>
      </c>
      <c r="BLS3" t="s">
        <v>1234</v>
      </c>
      <c r="BLT3">
        <v>117</v>
      </c>
      <c r="BLU3" t="s">
        <v>1235</v>
      </c>
      <c r="BLV3" t="s">
        <v>1236</v>
      </c>
      <c r="BLW3" t="s">
        <v>1237</v>
      </c>
      <c r="BLX3">
        <v>129</v>
      </c>
      <c r="BLY3" t="s">
        <v>1238</v>
      </c>
      <c r="BLZ3" t="s">
        <v>1239</v>
      </c>
      <c r="BMA3" t="s">
        <v>1240</v>
      </c>
      <c r="BMB3">
        <v>140</v>
      </c>
      <c r="BMC3" t="s">
        <v>1238</v>
      </c>
      <c r="BMD3" t="s">
        <v>1241</v>
      </c>
      <c r="BME3" t="s">
        <v>1088</v>
      </c>
      <c r="BMF3">
        <v>152</v>
      </c>
      <c r="BMG3" t="s">
        <v>1087</v>
      </c>
      <c r="BMH3" t="s">
        <v>1242</v>
      </c>
      <c r="BMI3" t="s">
        <v>1243</v>
      </c>
      <c r="BMJ3">
        <v>165</v>
      </c>
      <c r="BMK3" t="s">
        <v>1244</v>
      </c>
      <c r="BML3" t="s">
        <v>1245</v>
      </c>
      <c r="BMM3" t="s">
        <v>1246</v>
      </c>
      <c r="BMN3">
        <v>177</v>
      </c>
      <c r="BMO3" t="s">
        <v>1229</v>
      </c>
      <c r="BMP3" t="s">
        <v>1247</v>
      </c>
      <c r="BMQ3" t="s">
        <v>1248</v>
      </c>
      <c r="BMR3">
        <v>191</v>
      </c>
      <c r="BMS3" t="s">
        <v>1150</v>
      </c>
      <c r="BMT3" t="s">
        <v>1249</v>
      </c>
      <c r="BMU3" t="s">
        <v>1250</v>
      </c>
      <c r="BMV3">
        <v>204</v>
      </c>
      <c r="BMW3" t="s">
        <v>1251</v>
      </c>
      <c r="BMX3" t="s">
        <v>1252</v>
      </c>
      <c r="BMY3" t="s">
        <v>1253</v>
      </c>
      <c r="BMZ3">
        <v>219</v>
      </c>
      <c r="BNA3" t="s">
        <v>1254</v>
      </c>
      <c r="BNB3" t="s">
        <v>1052</v>
      </c>
      <c r="BNC3" t="s">
        <v>1053</v>
      </c>
      <c r="BND3">
        <v>233</v>
      </c>
      <c r="BNE3" t="s">
        <v>1255</v>
      </c>
      <c r="BNF3" t="s">
        <v>1256</v>
      </c>
      <c r="BNG3" t="s">
        <v>1257</v>
      </c>
      <c r="BNH3" t="s">
        <v>1258</v>
      </c>
      <c r="BNI3" t="s">
        <v>1259</v>
      </c>
      <c r="BNJ3" t="s">
        <v>1260</v>
      </c>
      <c r="BNK3" t="s">
        <v>1261</v>
      </c>
      <c r="BNL3" t="s">
        <v>1262</v>
      </c>
      <c r="BNM3" t="s">
        <v>1263</v>
      </c>
      <c r="BNN3" t="s">
        <v>1264</v>
      </c>
      <c r="BNO3" t="s">
        <v>44</v>
      </c>
      <c r="BNP3" t="s">
        <v>125</v>
      </c>
      <c r="BNQ3" t="s">
        <v>126</v>
      </c>
      <c r="BNR3" t="s">
        <v>1265</v>
      </c>
      <c r="BNS3" t="s">
        <v>1266</v>
      </c>
      <c r="BNT3" t="s">
        <v>1267</v>
      </c>
      <c r="BNU3" t="s">
        <v>1268</v>
      </c>
      <c r="BNV3" t="s">
        <v>44</v>
      </c>
      <c r="BNW3" t="s">
        <v>243</v>
      </c>
      <c r="BNX3" t="s">
        <v>1269</v>
      </c>
      <c r="BNY3" t="s">
        <v>1270</v>
      </c>
      <c r="BNZ3" t="s">
        <v>1271</v>
      </c>
      <c r="BOA3" t="s">
        <v>1272</v>
      </c>
      <c r="BOB3" t="s">
        <v>1273</v>
      </c>
      <c r="BOC3" t="s">
        <v>1274</v>
      </c>
      <c r="BOD3" t="s">
        <v>1275</v>
      </c>
      <c r="BOE3" t="s">
        <v>1276</v>
      </c>
      <c r="BOF3" t="s">
        <v>1277</v>
      </c>
      <c r="BOG3" t="s">
        <v>44</v>
      </c>
      <c r="BOH3" t="s">
        <v>125</v>
      </c>
      <c r="BOI3" t="s">
        <v>1278</v>
      </c>
      <c r="BOJ3">
        <v>0</v>
      </c>
      <c r="BOK3" t="s">
        <v>1279</v>
      </c>
      <c r="BOL3" t="s">
        <v>1280</v>
      </c>
      <c r="BOM3">
        <v>0</v>
      </c>
      <c r="BON3" t="s">
        <v>1279</v>
      </c>
      <c r="BOO3" t="s">
        <v>1281</v>
      </c>
      <c r="BOP3" t="s">
        <v>1282</v>
      </c>
      <c r="BOQ3" t="s">
        <v>1283</v>
      </c>
      <c r="BOR3" t="s">
        <v>1284</v>
      </c>
      <c r="BOS3" t="s">
        <v>1285</v>
      </c>
      <c r="BOT3" t="s">
        <v>1286</v>
      </c>
      <c r="BOU3" t="s">
        <v>1287</v>
      </c>
      <c r="BOV3" t="s">
        <v>1288</v>
      </c>
      <c r="BOW3" t="s">
        <v>1289</v>
      </c>
      <c r="BOX3" t="s">
        <v>44</v>
      </c>
      <c r="BOY3" t="s">
        <v>1290</v>
      </c>
      <c r="BOZ3" t="s">
        <v>1291</v>
      </c>
      <c r="BPA3" t="s">
        <v>1292</v>
      </c>
      <c r="BPB3" t="s">
        <v>1293</v>
      </c>
      <c r="BPC3" t="s">
        <v>1294</v>
      </c>
      <c r="BPD3" t="s">
        <v>1295</v>
      </c>
      <c r="BPE3" t="s">
        <v>1296</v>
      </c>
      <c r="BPF3" t="s">
        <v>1297</v>
      </c>
      <c r="BPG3" t="s">
        <v>1298</v>
      </c>
      <c r="BPH3" t="s">
        <v>1299</v>
      </c>
      <c r="BPI3" t="s">
        <v>1300</v>
      </c>
      <c r="BPJ3" t="s">
        <v>1301</v>
      </c>
      <c r="BPK3" t="s">
        <v>1302</v>
      </c>
      <c r="BPL3" t="s">
        <v>1303</v>
      </c>
      <c r="BPM3" t="s">
        <v>1304</v>
      </c>
      <c r="BPN3" t="s">
        <v>1305</v>
      </c>
      <c r="BPO3" t="s">
        <v>1306</v>
      </c>
      <c r="BPP3" t="s">
        <v>1307</v>
      </c>
      <c r="BPQ3" t="s">
        <v>125</v>
      </c>
      <c r="BPR3" t="s">
        <v>126</v>
      </c>
      <c r="BPS3" t="s">
        <v>49</v>
      </c>
      <c r="BPT3" t="s">
        <v>310</v>
      </c>
      <c r="BPU3" t="s">
        <v>1308</v>
      </c>
      <c r="BPV3" t="s">
        <v>1309</v>
      </c>
      <c r="BPW3" t="s">
        <v>1310</v>
      </c>
      <c r="BPX3" t="s">
        <v>1311</v>
      </c>
      <c r="BPY3" t="s">
        <v>1312</v>
      </c>
      <c r="BPZ3" t="s">
        <v>1313</v>
      </c>
      <c r="BQA3" t="s">
        <v>1314</v>
      </c>
      <c r="BQB3" t="s">
        <v>1315</v>
      </c>
      <c r="BQC3" t="s">
        <v>1316</v>
      </c>
      <c r="BQD3" t="s">
        <v>1317</v>
      </c>
      <c r="BQE3" t="s">
        <v>1318</v>
      </c>
      <c r="BQF3" t="s">
        <v>1319</v>
      </c>
      <c r="BQG3" t="s">
        <v>1320</v>
      </c>
      <c r="BQH3" t="s">
        <v>267</v>
      </c>
      <c r="BQI3" t="s">
        <v>1321</v>
      </c>
      <c r="BQJ3" t="s">
        <v>44</v>
      </c>
      <c r="BQK3" t="s">
        <v>1322</v>
      </c>
      <c r="BQL3" t="s">
        <v>1323</v>
      </c>
      <c r="BQM3" t="s">
        <v>1324</v>
      </c>
      <c r="BQN3" t="s">
        <v>1325</v>
      </c>
      <c r="BQO3" t="s">
        <v>1326</v>
      </c>
      <c r="BQP3" t="s">
        <v>1327</v>
      </c>
      <c r="BQQ3" t="s">
        <v>1328</v>
      </c>
      <c r="BQR3" t="s">
        <v>1329</v>
      </c>
      <c r="BQS3" t="s">
        <v>1330</v>
      </c>
      <c r="BQT3" t="s">
        <v>1331</v>
      </c>
      <c r="BQU3" t="s">
        <v>1332</v>
      </c>
      <c r="BQV3" t="s">
        <v>1333</v>
      </c>
      <c r="BQW3" t="s">
        <v>1334</v>
      </c>
      <c r="BQX3" t="s">
        <v>1335</v>
      </c>
      <c r="BQY3" t="s">
        <v>44</v>
      </c>
      <c r="BQZ3" t="s">
        <v>1336</v>
      </c>
      <c r="BRA3" t="s">
        <v>1337</v>
      </c>
      <c r="BRB3" t="s">
        <v>1338</v>
      </c>
      <c r="BRC3" t="s">
        <v>1339</v>
      </c>
      <c r="BRD3" t="s">
        <v>1340</v>
      </c>
      <c r="BRE3" t="s">
        <v>1341</v>
      </c>
      <c r="BRF3" t="s">
        <v>1342</v>
      </c>
      <c r="BRG3" t="s">
        <v>1341</v>
      </c>
      <c r="BRH3" t="s">
        <v>1343</v>
      </c>
      <c r="BRI3" t="s">
        <v>1344</v>
      </c>
      <c r="BRJ3" t="s">
        <v>1345</v>
      </c>
      <c r="BRK3" t="s">
        <v>1346</v>
      </c>
      <c r="BRL3" t="s">
        <v>1347</v>
      </c>
      <c r="BRM3" t="s">
        <v>1348</v>
      </c>
      <c r="BRN3" t="s">
        <v>1349</v>
      </c>
      <c r="BRO3" t="s">
        <v>1350</v>
      </c>
      <c r="BRP3" t="s">
        <v>1351</v>
      </c>
      <c r="BRQ3" t="s">
        <v>1352</v>
      </c>
      <c r="BRR3" t="s">
        <v>1353</v>
      </c>
      <c r="BRS3" t="s">
        <v>1354</v>
      </c>
      <c r="BRT3" t="s">
        <v>1355</v>
      </c>
      <c r="BRU3" t="s">
        <v>1356</v>
      </c>
      <c r="BRV3" t="s">
        <v>1357</v>
      </c>
      <c r="BRW3" t="s">
        <v>1358</v>
      </c>
      <c r="BRX3" t="s">
        <v>1359</v>
      </c>
      <c r="BRY3" t="s">
        <v>1360</v>
      </c>
      <c r="BRZ3" t="s">
        <v>1361</v>
      </c>
      <c r="BSA3" t="s">
        <v>1362</v>
      </c>
      <c r="BSB3" t="s">
        <v>1363</v>
      </c>
      <c r="BSC3" t="s">
        <v>1345</v>
      </c>
      <c r="BSD3" t="s">
        <v>1364</v>
      </c>
      <c r="BSE3" t="s">
        <v>1365</v>
      </c>
      <c r="BSF3" t="s">
        <v>1366</v>
      </c>
      <c r="BSG3" t="s">
        <v>1341</v>
      </c>
      <c r="BSH3" t="s">
        <v>1367</v>
      </c>
      <c r="BSI3" t="s">
        <v>1341</v>
      </c>
      <c r="BSJ3" t="s">
        <v>1368</v>
      </c>
      <c r="BSK3" t="s">
        <v>1369</v>
      </c>
      <c r="BSL3" t="s">
        <v>1370</v>
      </c>
      <c r="BSM3" t="s">
        <v>1371</v>
      </c>
      <c r="BSN3" t="s">
        <v>1372</v>
      </c>
      <c r="BSO3" t="s">
        <v>1373</v>
      </c>
      <c r="BSP3" t="s">
        <v>861</v>
      </c>
      <c r="BSQ3" t="s">
        <v>1374</v>
      </c>
      <c r="BSR3" t="s">
        <v>1375</v>
      </c>
      <c r="BSS3" t="s">
        <v>1376</v>
      </c>
      <c r="BST3" t="s">
        <v>1377</v>
      </c>
      <c r="BSU3" t="s">
        <v>1378</v>
      </c>
      <c r="BSV3" t="s">
        <v>1379</v>
      </c>
      <c r="BSW3" t="s">
        <v>1380</v>
      </c>
      <c r="BSX3" t="s">
        <v>1381</v>
      </c>
      <c r="BSY3" t="s">
        <v>1382</v>
      </c>
      <c r="BSZ3" t="s">
        <v>1383</v>
      </c>
      <c r="BTA3" t="s">
        <v>1384</v>
      </c>
      <c r="BTB3" t="s">
        <v>1385</v>
      </c>
      <c r="BTC3" t="s">
        <v>1386</v>
      </c>
      <c r="BTD3" t="s">
        <v>1387</v>
      </c>
      <c r="BTE3" t="s">
        <v>1388</v>
      </c>
      <c r="BTF3" t="s">
        <v>1389</v>
      </c>
      <c r="BTG3" t="s">
        <v>1390</v>
      </c>
      <c r="BTH3" t="s">
        <v>1391</v>
      </c>
      <c r="BTI3" t="s">
        <v>1392</v>
      </c>
      <c r="BTJ3" t="s">
        <v>44</v>
      </c>
      <c r="BTK3" t="s">
        <v>1393</v>
      </c>
      <c r="BTL3" t="s">
        <v>1394</v>
      </c>
      <c r="BTM3" t="s">
        <v>1395</v>
      </c>
      <c r="BTN3" t="s">
        <v>1396</v>
      </c>
      <c r="BTO3" t="s">
        <v>1397</v>
      </c>
      <c r="BTP3" t="s">
        <v>44</v>
      </c>
      <c r="BTQ3" t="s">
        <v>1398</v>
      </c>
      <c r="BTR3" t="s">
        <v>1399</v>
      </c>
      <c r="BTS3" t="s">
        <v>44</v>
      </c>
      <c r="BTT3" t="s">
        <v>1400</v>
      </c>
      <c r="BTU3" t="s">
        <v>1401</v>
      </c>
      <c r="BTV3" t="s">
        <v>1402</v>
      </c>
      <c r="BTW3" t="s">
        <v>1403</v>
      </c>
      <c r="BTX3" t="s">
        <v>1404</v>
      </c>
      <c r="BTY3" t="s">
        <v>1405</v>
      </c>
      <c r="BTZ3" t="s">
        <v>1406</v>
      </c>
      <c r="BUA3" t="s">
        <v>1407</v>
      </c>
      <c r="BUB3" t="s">
        <v>1408</v>
      </c>
      <c r="BUC3" t="s">
        <v>1409</v>
      </c>
      <c r="BUD3" t="s">
        <v>1410</v>
      </c>
      <c r="BUE3" t="s">
        <v>1411</v>
      </c>
      <c r="BUF3" t="s">
        <v>1412</v>
      </c>
      <c r="BUG3" t="s">
        <v>1413</v>
      </c>
      <c r="BUH3" t="s">
        <v>1414</v>
      </c>
      <c r="BUI3" t="s">
        <v>1415</v>
      </c>
      <c r="BUJ3" t="s">
        <v>1416</v>
      </c>
      <c r="BUK3" t="s">
        <v>1417</v>
      </c>
      <c r="BUL3" t="s">
        <v>1418</v>
      </c>
      <c r="BUM3" t="s">
        <v>1419</v>
      </c>
      <c r="BUN3" t="s">
        <v>1420</v>
      </c>
      <c r="BUO3" t="s">
        <v>1421</v>
      </c>
      <c r="BUP3" t="s">
        <v>1422</v>
      </c>
      <c r="BUQ3" t="s">
        <v>1423</v>
      </c>
      <c r="BUR3" t="s">
        <v>1424</v>
      </c>
      <c r="BUS3" t="s">
        <v>1425</v>
      </c>
      <c r="BUT3" t="s">
        <v>1426</v>
      </c>
      <c r="BUU3" t="s">
        <v>1427</v>
      </c>
      <c r="BUV3" t="e">
        <f>-""</f>
        <v>#VALUE!</v>
      </c>
      <c r="BUW3" t="s">
        <v>1428</v>
      </c>
      <c r="BUX3" t="str">
        <f>+""</f>
        <v/>
      </c>
      <c r="BUY3" t="s">
        <v>1429</v>
      </c>
      <c r="BUZ3" t="s">
        <v>1430</v>
      </c>
      <c r="BVA3" t="s">
        <v>804</v>
      </c>
      <c r="BVB3" t="s">
        <v>1422</v>
      </c>
      <c r="BVC3" t="s">
        <v>1431</v>
      </c>
      <c r="BVD3" t="s">
        <v>1432</v>
      </c>
      <c r="BVE3" t="s">
        <v>1433</v>
      </c>
      <c r="BVF3" t="s">
        <v>1434</v>
      </c>
      <c r="BVG3" t="s">
        <v>1422</v>
      </c>
      <c r="BVH3" t="s">
        <v>172</v>
      </c>
      <c r="BVI3" t="s">
        <v>804</v>
      </c>
      <c r="BVJ3" t="s">
        <v>1422</v>
      </c>
      <c r="BVK3" t="s">
        <v>1435</v>
      </c>
      <c r="BVL3" t="s">
        <v>804</v>
      </c>
      <c r="BVM3" t="s">
        <v>1422</v>
      </c>
      <c r="BVN3" t="s">
        <v>1436</v>
      </c>
      <c r="BVO3" t="s">
        <v>1437</v>
      </c>
      <c r="BVP3" t="s">
        <v>142</v>
      </c>
      <c r="BVQ3" t="s">
        <v>1438</v>
      </c>
      <c r="BVR3" t="s">
        <v>1439</v>
      </c>
      <c r="BVS3" t="s">
        <v>142</v>
      </c>
      <c r="BVT3" t="s">
        <v>1440</v>
      </c>
      <c r="BVU3" t="s">
        <v>804</v>
      </c>
      <c r="BVV3" t="s">
        <v>1422</v>
      </c>
      <c r="BVW3" t="s">
        <v>1441</v>
      </c>
      <c r="BVX3" t="s">
        <v>142</v>
      </c>
      <c r="BVY3" t="s">
        <v>1442</v>
      </c>
      <c r="BVZ3" t="s">
        <v>1443</v>
      </c>
      <c r="BWA3" t="s">
        <v>804</v>
      </c>
      <c r="BWB3" t="s">
        <v>1422</v>
      </c>
      <c r="BWC3" t="s">
        <v>1444</v>
      </c>
      <c r="BWD3" t="s">
        <v>1445</v>
      </c>
      <c r="BWE3" t="s">
        <v>44</v>
      </c>
      <c r="BWF3" t="s">
        <v>333</v>
      </c>
      <c r="BWG3" t="s">
        <v>836</v>
      </c>
      <c r="BWH3" t="s">
        <v>1446</v>
      </c>
      <c r="BWI3" t="s">
        <v>1447</v>
      </c>
      <c r="BWJ3" t="s">
        <v>1448</v>
      </c>
      <c r="BWK3" t="s">
        <v>1449</v>
      </c>
      <c r="BWL3" t="s">
        <v>1450</v>
      </c>
      <c r="BWM3" t="s">
        <v>1451</v>
      </c>
      <c r="BWN3" t="s">
        <v>1452</v>
      </c>
      <c r="BWO3" t="s">
        <v>1453</v>
      </c>
      <c r="BWP3" t="s">
        <v>1454</v>
      </c>
      <c r="BWQ3" t="s">
        <v>1455</v>
      </c>
      <c r="BWR3" t="s">
        <v>1456</v>
      </c>
      <c r="BWS3" t="s">
        <v>1457</v>
      </c>
      <c r="BWT3" t="s">
        <v>1458</v>
      </c>
      <c r="BWU3" t="s">
        <v>1459</v>
      </c>
      <c r="BWV3" t="s">
        <v>1460</v>
      </c>
      <c r="BWW3" t="s">
        <v>1461</v>
      </c>
      <c r="BWX3" t="s">
        <v>1462</v>
      </c>
      <c r="BWY3" t="s">
        <v>1463</v>
      </c>
      <c r="BWZ3" t="s">
        <v>1464</v>
      </c>
      <c r="BXA3" t="s">
        <v>1465</v>
      </c>
      <c r="BXB3" t="s">
        <v>1466</v>
      </c>
      <c r="BXC3" t="s">
        <v>1467</v>
      </c>
      <c r="BXD3" t="s">
        <v>1468</v>
      </c>
      <c r="BXE3" t="s">
        <v>1469</v>
      </c>
      <c r="BXF3" t="s">
        <v>1470</v>
      </c>
      <c r="BXG3" t="s">
        <v>1471</v>
      </c>
      <c r="BXH3" t="s">
        <v>1472</v>
      </c>
      <c r="BXI3" t="s">
        <v>1473</v>
      </c>
      <c r="BXJ3" t="s">
        <v>1352</v>
      </c>
      <c r="BXK3" t="s">
        <v>1474</v>
      </c>
      <c r="BXL3" t="s">
        <v>1475</v>
      </c>
      <c r="BXM3" t="s">
        <v>1476</v>
      </c>
      <c r="BXN3" t="s">
        <v>513</v>
      </c>
      <c r="BXO3" t="s">
        <v>1477</v>
      </c>
      <c r="BXP3" t="s">
        <v>1336</v>
      </c>
      <c r="BXQ3" t="s">
        <v>1478</v>
      </c>
      <c r="BXR3" t="s">
        <v>1479</v>
      </c>
      <c r="BXS3" t="s">
        <v>1480</v>
      </c>
      <c r="BXT3" t="s">
        <v>1481</v>
      </c>
      <c r="BXU3" t="s">
        <v>1482</v>
      </c>
      <c r="BXV3" t="s">
        <v>1483</v>
      </c>
      <c r="BXW3" t="s">
        <v>1484</v>
      </c>
      <c r="BXX3" t="s">
        <v>1485</v>
      </c>
      <c r="BXY3" t="s">
        <v>1486</v>
      </c>
      <c r="BXZ3" t="s">
        <v>1487</v>
      </c>
      <c r="BYA3" t="s">
        <v>1488</v>
      </c>
      <c r="BYB3" t="s">
        <v>1489</v>
      </c>
      <c r="BYC3" t="s">
        <v>44</v>
      </c>
      <c r="BYD3" t="s">
        <v>125</v>
      </c>
      <c r="BYE3" t="s">
        <v>1490</v>
      </c>
      <c r="BYF3" t="s">
        <v>1491</v>
      </c>
      <c r="BYG3" t="s">
        <v>1492</v>
      </c>
      <c r="BYH3">
        <v>0</v>
      </c>
      <c r="BYI3" t="s">
        <v>1493</v>
      </c>
      <c r="BYJ3">
        <v>0</v>
      </c>
      <c r="BYK3" t="s">
        <v>1494</v>
      </c>
      <c r="BYL3" t="s">
        <v>1495</v>
      </c>
      <c r="BYM3">
        <v>0</v>
      </c>
      <c r="BYN3" t="s">
        <v>1494</v>
      </c>
      <c r="BYO3" t="s">
        <v>1496</v>
      </c>
      <c r="BYP3" t="s">
        <v>1497</v>
      </c>
      <c r="BYQ3">
        <v>0</v>
      </c>
      <c r="BYR3" t="s">
        <v>1498</v>
      </c>
      <c r="BYS3" t="s">
        <v>1499</v>
      </c>
      <c r="BYT3">
        <v>0</v>
      </c>
      <c r="BYU3" t="s">
        <v>1500</v>
      </c>
      <c r="BYV3" t="s">
        <v>1501</v>
      </c>
      <c r="BYW3" t="s">
        <v>1502</v>
      </c>
      <c r="BYX3" t="s">
        <v>125</v>
      </c>
      <c r="BYY3" t="s">
        <v>1308</v>
      </c>
      <c r="BYZ3" t="s">
        <v>1503</v>
      </c>
      <c r="BZA3" t="s">
        <v>896</v>
      </c>
      <c r="BZB3" t="s">
        <v>310</v>
      </c>
      <c r="BZC3" t="s">
        <v>1504</v>
      </c>
      <c r="BZD3" t="s">
        <v>1505</v>
      </c>
      <c r="BZE3" t="s">
        <v>511</v>
      </c>
      <c r="BZF3" t="s">
        <v>48</v>
      </c>
      <c r="BZG3" t="s">
        <v>1506</v>
      </c>
      <c r="BZH3" t="s">
        <v>1310</v>
      </c>
      <c r="BZI3" t="s">
        <v>1507</v>
      </c>
      <c r="BZJ3" t="s">
        <v>1508</v>
      </c>
      <c r="BZK3" t="s">
        <v>1509</v>
      </c>
      <c r="BZL3" t="s">
        <v>1510</v>
      </c>
      <c r="BZM3" t="s">
        <v>125</v>
      </c>
      <c r="BZN3" t="s">
        <v>932</v>
      </c>
      <c r="BZO3" t="s">
        <v>1511</v>
      </c>
      <c r="BZP3" t="s">
        <v>1512</v>
      </c>
      <c r="BZQ3" t="s">
        <v>1513</v>
      </c>
      <c r="BZR3" t="s">
        <v>1514</v>
      </c>
      <c r="BZS3" t="s">
        <v>1515</v>
      </c>
      <c r="BZT3" t="s">
        <v>1516</v>
      </c>
      <c r="BZU3" t="s">
        <v>1517</v>
      </c>
      <c r="BZV3" t="s">
        <v>1518</v>
      </c>
      <c r="BZW3" t="s">
        <v>1519</v>
      </c>
      <c r="BZX3" t="s">
        <v>1520</v>
      </c>
      <c r="BZY3" t="s">
        <v>388</v>
      </c>
      <c r="BZZ3" t="s">
        <v>1521</v>
      </c>
      <c r="CAA3" t="s">
        <v>388</v>
      </c>
      <c r="CAB3" t="s">
        <v>1522</v>
      </c>
      <c r="CAC3" t="s">
        <v>388</v>
      </c>
      <c r="CAD3" t="s">
        <v>1523</v>
      </c>
      <c r="CAE3" t="s">
        <v>388</v>
      </c>
      <c r="CAF3" t="s">
        <v>1524</v>
      </c>
      <c r="CAG3" t="s">
        <v>125</v>
      </c>
      <c r="CAH3" t="s">
        <v>932</v>
      </c>
      <c r="CAI3" t="s">
        <v>318</v>
      </c>
      <c r="CAJ3" t="s">
        <v>1512</v>
      </c>
      <c r="CAK3" t="s">
        <v>1525</v>
      </c>
      <c r="CAL3" t="s">
        <v>1309</v>
      </c>
      <c r="CAM3" t="s">
        <v>1310</v>
      </c>
      <c r="CAN3" t="s">
        <v>1526</v>
      </c>
      <c r="CAO3" t="s">
        <v>1527</v>
      </c>
      <c r="CAP3" t="s">
        <v>1528</v>
      </c>
      <c r="CAQ3" t="s">
        <v>44</v>
      </c>
      <c r="CAR3" t="s">
        <v>1529</v>
      </c>
      <c r="CAS3" t="s">
        <v>1530</v>
      </c>
      <c r="CAT3" t="s">
        <v>1400</v>
      </c>
      <c r="CAU3" t="s">
        <v>1531</v>
      </c>
      <c r="CAV3" t="s">
        <v>44</v>
      </c>
      <c r="CAW3" t="s">
        <v>1532</v>
      </c>
      <c r="CAX3" t="s">
        <v>1533</v>
      </c>
      <c r="CAY3" t="s">
        <v>1400</v>
      </c>
      <c r="CAZ3" t="s">
        <v>1534</v>
      </c>
      <c r="CBA3" t="s">
        <v>44</v>
      </c>
      <c r="CBB3" t="s">
        <v>125</v>
      </c>
      <c r="CBC3" t="s">
        <v>126</v>
      </c>
      <c r="CBD3" t="s">
        <v>1535</v>
      </c>
      <c r="CBE3" t="s">
        <v>44</v>
      </c>
      <c r="CBF3" t="s">
        <v>1536</v>
      </c>
      <c r="CBG3" t="s">
        <v>126</v>
      </c>
      <c r="CBH3" t="s">
        <v>1537</v>
      </c>
      <c r="CBI3" t="s">
        <v>1538</v>
      </c>
      <c r="CBJ3" t="s">
        <v>44</v>
      </c>
      <c r="CBK3" t="s">
        <v>125</v>
      </c>
      <c r="CBL3" t="s">
        <v>1539</v>
      </c>
      <c r="CBM3" t="s">
        <v>1540</v>
      </c>
      <c r="CBN3" t="s">
        <v>1541</v>
      </c>
      <c r="CBO3" t="s">
        <v>1542</v>
      </c>
      <c r="CBP3" t="s">
        <v>1543</v>
      </c>
      <c r="CBQ3" t="s">
        <v>1544</v>
      </c>
      <c r="CBR3" t="s">
        <v>1545</v>
      </c>
      <c r="CBS3" t="s">
        <v>1546</v>
      </c>
      <c r="CBT3" t="s">
        <v>44</v>
      </c>
      <c r="CBU3" t="s">
        <v>1547</v>
      </c>
      <c r="CBV3" t="s">
        <v>46</v>
      </c>
      <c r="CBW3" t="s">
        <v>44</v>
      </c>
      <c r="CBX3" t="s">
        <v>1548</v>
      </c>
      <c r="CBY3" t="s">
        <v>1549</v>
      </c>
      <c r="CBZ3" t="s">
        <v>44</v>
      </c>
      <c r="CCA3" t="s">
        <v>125</v>
      </c>
      <c r="CCB3" t="s">
        <v>126</v>
      </c>
      <c r="CCC3" t="s">
        <v>46</v>
      </c>
      <c r="CCD3" t="s">
        <v>1550</v>
      </c>
      <c r="CCE3" t="s">
        <v>1551</v>
      </c>
      <c r="CCF3" t="s">
        <v>1552</v>
      </c>
      <c r="CCG3" t="s">
        <v>1553</v>
      </c>
      <c r="CCH3" t="s">
        <v>1554</v>
      </c>
      <c r="CCI3" t="s">
        <v>1555</v>
      </c>
      <c r="CCJ3" t="s">
        <v>1556</v>
      </c>
      <c r="CCK3" t="s">
        <v>1557</v>
      </c>
      <c r="CCL3" t="s">
        <v>1558</v>
      </c>
      <c r="CCM3" t="s">
        <v>1559</v>
      </c>
      <c r="CCN3" t="s">
        <v>1560</v>
      </c>
      <c r="CCO3" t="s">
        <v>1561</v>
      </c>
      <c r="CCP3" t="s">
        <v>1562</v>
      </c>
      <c r="CCQ3" t="s">
        <v>125</v>
      </c>
      <c r="CCR3" t="s">
        <v>46</v>
      </c>
      <c r="CCS3" t="s">
        <v>1503</v>
      </c>
      <c r="CCT3" t="s">
        <v>1563</v>
      </c>
      <c r="CCU3" t="s">
        <v>1564</v>
      </c>
      <c r="CCV3" t="s">
        <v>44</v>
      </c>
      <c r="CCW3" t="s">
        <v>1565</v>
      </c>
      <c r="CCX3" t="s">
        <v>1566</v>
      </c>
      <c r="CCY3" t="s">
        <v>44</v>
      </c>
      <c r="CCZ3" t="s">
        <v>125</v>
      </c>
      <c r="CDA3" t="s">
        <v>126</v>
      </c>
      <c r="CDB3" t="s">
        <v>1567</v>
      </c>
      <c r="CDC3" t="s">
        <v>1568</v>
      </c>
      <c r="CDD3" t="s">
        <v>1569</v>
      </c>
      <c r="CDE3" t="s">
        <v>1570</v>
      </c>
      <c r="CDF3" t="s">
        <v>1571</v>
      </c>
      <c r="CDG3" t="s">
        <v>1572</v>
      </c>
      <c r="CDH3" t="s">
        <v>511</v>
      </c>
      <c r="CDI3" t="s">
        <v>1573</v>
      </c>
      <c r="CDJ3" t="s">
        <v>1574</v>
      </c>
      <c r="CDK3" t="s">
        <v>44</v>
      </c>
      <c r="CDL3" t="s">
        <v>125</v>
      </c>
      <c r="CDM3" t="s">
        <v>1575</v>
      </c>
      <c r="CDN3" t="s">
        <v>1576</v>
      </c>
      <c r="CDO3" t="s">
        <v>1577</v>
      </c>
      <c r="CDP3" t="s">
        <v>1578</v>
      </c>
      <c r="CDQ3" t="s">
        <v>1579</v>
      </c>
      <c r="CDR3" t="s">
        <v>511</v>
      </c>
      <c r="CDS3" t="s">
        <v>1580</v>
      </c>
      <c r="CDT3" t="s">
        <v>1581</v>
      </c>
      <c r="CDU3" t="s">
        <v>44</v>
      </c>
      <c r="CDV3" t="s">
        <v>1582</v>
      </c>
      <c r="CDW3" t="s">
        <v>1583</v>
      </c>
      <c r="CDX3" t="s">
        <v>1336</v>
      </c>
      <c r="CDY3" t="s">
        <v>1584</v>
      </c>
      <c r="CDZ3" t="s">
        <v>1585</v>
      </c>
      <c r="CEA3" t="s">
        <v>1586</v>
      </c>
      <c r="CEB3" t="s">
        <v>1587</v>
      </c>
      <c r="CEC3" t="s">
        <v>1588</v>
      </c>
      <c r="CED3" t="s">
        <v>1589</v>
      </c>
      <c r="CEE3" t="s">
        <v>1590</v>
      </c>
      <c r="CEF3" t="s">
        <v>1591</v>
      </c>
      <c r="CEG3" t="s">
        <v>1592</v>
      </c>
      <c r="CEH3" t="s">
        <v>1592</v>
      </c>
      <c r="CEI3" t="s">
        <v>1593</v>
      </c>
      <c r="CEJ3" t="s">
        <v>1594</v>
      </c>
      <c r="CEK3" t="s">
        <v>1592</v>
      </c>
      <c r="CEL3" t="s">
        <v>1595</v>
      </c>
      <c r="CEM3" t="s">
        <v>1596</v>
      </c>
      <c r="CEN3" t="s">
        <v>1597</v>
      </c>
      <c r="CEO3" t="s">
        <v>1598</v>
      </c>
      <c r="CEP3" t="s">
        <v>1599</v>
      </c>
      <c r="CEQ3" t="s">
        <v>44</v>
      </c>
      <c r="CER3" t="s">
        <v>1600</v>
      </c>
      <c r="CES3" t="s">
        <v>1601</v>
      </c>
      <c r="CET3" t="s">
        <v>44</v>
      </c>
      <c r="CEU3" t="s">
        <v>1602</v>
      </c>
      <c r="CEV3" t="s">
        <v>1603</v>
      </c>
      <c r="CEW3" t="s">
        <v>1604</v>
      </c>
      <c r="CEX3" t="s">
        <v>44</v>
      </c>
      <c r="CEY3" t="s">
        <v>1605</v>
      </c>
      <c r="CEZ3" t="s">
        <v>1606</v>
      </c>
      <c r="CFA3" t="s">
        <v>1607</v>
      </c>
      <c r="CFB3" t="s">
        <v>1608</v>
      </c>
      <c r="CFC3" t="s">
        <v>1609</v>
      </c>
      <c r="CFD3" t="s">
        <v>1610</v>
      </c>
      <c r="CFE3" t="s">
        <v>1611</v>
      </c>
      <c r="CFF3" t="s">
        <v>1612</v>
      </c>
      <c r="CFG3" t="s">
        <v>1613</v>
      </c>
      <c r="CFH3" t="s">
        <v>1614</v>
      </c>
      <c r="CFI3" t="s">
        <v>255</v>
      </c>
      <c r="CFJ3" t="s">
        <v>1615</v>
      </c>
      <c r="CFK3" t="s">
        <v>1616</v>
      </c>
      <c r="CFL3" t="s">
        <v>1617</v>
      </c>
      <c r="CFM3" t="s">
        <v>1618</v>
      </c>
      <c r="CFN3" t="s">
        <v>1619</v>
      </c>
      <c r="CFO3" t="s">
        <v>1620</v>
      </c>
      <c r="CFP3" t="s">
        <v>1621</v>
      </c>
      <c r="CFQ3" t="s">
        <v>1622</v>
      </c>
      <c r="CFR3" t="s">
        <v>1623</v>
      </c>
      <c r="CFS3" t="s">
        <v>1624</v>
      </c>
      <c r="CFT3" t="s">
        <v>1625</v>
      </c>
      <c r="CFU3" t="s">
        <v>1626</v>
      </c>
      <c r="CFV3" t="s">
        <v>1627</v>
      </c>
      <c r="CFW3" t="s">
        <v>1628</v>
      </c>
      <c r="CFX3" t="s">
        <v>44</v>
      </c>
      <c r="CFY3" t="s">
        <v>125</v>
      </c>
      <c r="CFZ3" t="s">
        <v>1629</v>
      </c>
      <c r="CGA3" t="s">
        <v>125</v>
      </c>
      <c r="CGB3" t="s">
        <v>1630</v>
      </c>
      <c r="CGC3" t="s">
        <v>1631</v>
      </c>
      <c r="CGD3" t="s">
        <v>1632</v>
      </c>
      <c r="CGE3" t="s">
        <v>1633</v>
      </c>
      <c r="CGF3" t="s">
        <v>1634</v>
      </c>
      <c r="CGG3" t="s">
        <v>1635</v>
      </c>
      <c r="CGH3" t="s">
        <v>1636</v>
      </c>
      <c r="CGI3" t="s">
        <v>1637</v>
      </c>
      <c r="CGJ3" t="s">
        <v>1638</v>
      </c>
      <c r="CGK3" t="s">
        <v>1636</v>
      </c>
      <c r="CGL3" t="s">
        <v>1639</v>
      </c>
      <c r="CGM3" t="s">
        <v>1640</v>
      </c>
      <c r="CGN3" t="s">
        <v>1641</v>
      </c>
      <c r="CGO3" t="s">
        <v>1642</v>
      </c>
      <c r="CGP3" t="s">
        <v>1643</v>
      </c>
      <c r="CGQ3" t="s">
        <v>1644</v>
      </c>
      <c r="CGR3" t="s">
        <v>1645</v>
      </c>
      <c r="CGS3" t="s">
        <v>1514</v>
      </c>
      <c r="CGT3" t="s">
        <v>1646</v>
      </c>
      <c r="CGU3" t="s">
        <v>1647</v>
      </c>
      <c r="CGV3" t="s">
        <v>1648</v>
      </c>
      <c r="CGW3" t="s">
        <v>1645</v>
      </c>
      <c r="CGX3" t="s">
        <v>1514</v>
      </c>
      <c r="CGY3" t="s">
        <v>1646</v>
      </c>
      <c r="CGZ3" t="s">
        <v>1514</v>
      </c>
      <c r="CHA3" t="s">
        <v>1643</v>
      </c>
      <c r="CHB3" t="s">
        <v>1649</v>
      </c>
      <c r="CHC3" t="s">
        <v>1650</v>
      </c>
      <c r="CHD3" t="s">
        <v>1651</v>
      </c>
      <c r="CHE3" t="s">
        <v>1646</v>
      </c>
      <c r="CHF3" t="s">
        <v>1647</v>
      </c>
      <c r="CHG3" t="s">
        <v>1652</v>
      </c>
      <c r="CHH3" t="s">
        <v>1650</v>
      </c>
      <c r="CHI3" t="s">
        <v>1651</v>
      </c>
      <c r="CHJ3" t="s">
        <v>1646</v>
      </c>
      <c r="CHK3" t="s">
        <v>1514</v>
      </c>
      <c r="CHL3" t="s">
        <v>1653</v>
      </c>
      <c r="CHM3" t="s">
        <v>44</v>
      </c>
      <c r="CHN3" t="s">
        <v>125</v>
      </c>
      <c r="CHO3" t="s">
        <v>47</v>
      </c>
      <c r="CHP3" t="s">
        <v>1503</v>
      </c>
      <c r="CHQ3" t="s">
        <v>48</v>
      </c>
      <c r="CHR3" t="s">
        <v>254</v>
      </c>
      <c r="CHS3" t="s">
        <v>896</v>
      </c>
      <c r="CHT3" t="s">
        <v>310</v>
      </c>
      <c r="CHU3" t="s">
        <v>1654</v>
      </c>
      <c r="CHV3" t="s">
        <v>1655</v>
      </c>
      <c r="CHW3" t="s">
        <v>1656</v>
      </c>
      <c r="CHX3" t="s">
        <v>1657</v>
      </c>
      <c r="CHY3" t="s">
        <v>1658</v>
      </c>
      <c r="CHZ3" t="s">
        <v>1659</v>
      </c>
      <c r="CIA3" t="s">
        <v>1660</v>
      </c>
      <c r="CIB3" t="s">
        <v>1661</v>
      </c>
      <c r="CIC3" t="s">
        <v>1662</v>
      </c>
      <c r="CID3" t="s">
        <v>1663</v>
      </c>
      <c r="CIE3" t="s">
        <v>1664</v>
      </c>
      <c r="CIF3" t="s">
        <v>1665</v>
      </c>
      <c r="CIG3" t="s">
        <v>1666</v>
      </c>
      <c r="CIH3" t="s">
        <v>1667</v>
      </c>
      <c r="CII3" t="s">
        <v>1668</v>
      </c>
      <c r="CIJ3" t="s">
        <v>1669</v>
      </c>
      <c r="CIK3" t="s">
        <v>1670</v>
      </c>
      <c r="CIL3" t="s">
        <v>1671</v>
      </c>
      <c r="CIM3" t="s">
        <v>1672</v>
      </c>
      <c r="CIN3" t="s">
        <v>1673</v>
      </c>
      <c r="CIO3" t="s">
        <v>1674</v>
      </c>
      <c r="CIP3" t="s">
        <v>1675</v>
      </c>
      <c r="CIQ3" t="s">
        <v>1676</v>
      </c>
      <c r="CIR3" t="s">
        <v>1677</v>
      </c>
      <c r="CIS3" t="s">
        <v>1678</v>
      </c>
      <c r="CIT3" t="s">
        <v>1494</v>
      </c>
      <c r="CIU3" t="s">
        <v>1679</v>
      </c>
      <c r="CIV3" t="s">
        <v>1680</v>
      </c>
      <c r="CIW3" t="s">
        <v>44</v>
      </c>
      <c r="CIX3" t="s">
        <v>125</v>
      </c>
      <c r="CIY3" t="s">
        <v>126</v>
      </c>
      <c r="CIZ3" t="s">
        <v>46</v>
      </c>
      <c r="CJA3" t="s">
        <v>1681</v>
      </c>
      <c r="CJB3" t="s">
        <v>44</v>
      </c>
      <c r="CJC3" t="s">
        <v>125</v>
      </c>
      <c r="CJD3" t="s">
        <v>1682</v>
      </c>
      <c r="CJE3" t="s">
        <v>46</v>
      </c>
      <c r="CJF3" t="s">
        <v>47</v>
      </c>
      <c r="CJG3" t="s">
        <v>1683</v>
      </c>
      <c r="CJH3" t="s">
        <v>1684</v>
      </c>
      <c r="CJI3" t="s">
        <v>1685</v>
      </c>
      <c r="CJJ3" t="s">
        <v>1686</v>
      </c>
      <c r="CJK3" t="s">
        <v>1687</v>
      </c>
      <c r="CJL3" t="s">
        <v>44</v>
      </c>
      <c r="CJM3" t="s">
        <v>125</v>
      </c>
      <c r="CJN3" t="s">
        <v>47</v>
      </c>
      <c r="CJO3" t="s">
        <v>1503</v>
      </c>
      <c r="CJP3" t="s">
        <v>48</v>
      </c>
      <c r="CJQ3" t="s">
        <v>254</v>
      </c>
      <c r="CJR3" t="s">
        <v>896</v>
      </c>
      <c r="CJS3" t="s">
        <v>310</v>
      </c>
      <c r="CJT3" t="s">
        <v>1308</v>
      </c>
      <c r="CJU3" t="s">
        <v>1309</v>
      </c>
      <c r="CJV3" t="s">
        <v>1688</v>
      </c>
      <c r="CJW3" t="s">
        <v>1689</v>
      </c>
      <c r="CJX3" t="s">
        <v>1690</v>
      </c>
      <c r="CJY3" t="s">
        <v>1691</v>
      </c>
      <c r="CJZ3" t="s">
        <v>1692</v>
      </c>
      <c r="CKA3" t="s">
        <v>266</v>
      </c>
      <c r="CKB3" t="s">
        <v>267</v>
      </c>
      <c r="CKC3" t="s">
        <v>1347</v>
      </c>
      <c r="CKD3" t="s">
        <v>1693</v>
      </c>
      <c r="CKE3" t="s">
        <v>1694</v>
      </c>
      <c r="CKF3" t="s">
        <v>1695</v>
      </c>
      <c r="CKG3" t="s">
        <v>1696</v>
      </c>
      <c r="CKH3" t="s">
        <v>1697</v>
      </c>
      <c r="CKI3" t="s">
        <v>1698</v>
      </c>
      <c r="CKJ3" t="s">
        <v>1699</v>
      </c>
      <c r="CKK3" t="s">
        <v>1700</v>
      </c>
      <c r="CKL3" t="s">
        <v>1701</v>
      </c>
      <c r="CKM3" t="s">
        <v>1702</v>
      </c>
      <c r="CKN3" t="s">
        <v>1703</v>
      </c>
      <c r="CKO3" t="s">
        <v>1704</v>
      </c>
      <c r="CKP3" t="s">
        <v>1705</v>
      </c>
      <c r="CKQ3" t="s">
        <v>1706</v>
      </c>
      <c r="CKR3" t="s">
        <v>1707</v>
      </c>
      <c r="CKS3" t="s">
        <v>1708</v>
      </c>
      <c r="CKT3" t="s">
        <v>1709</v>
      </c>
      <c r="CKU3" t="e">
        <f>-""+v/2</f>
        <v>#VALUE!</v>
      </c>
      <c r="CKV3" t="s">
        <v>1710</v>
      </c>
      <c r="CKW3" t="s">
        <v>1711</v>
      </c>
      <c r="CKX3" t="s">
        <v>1712</v>
      </c>
      <c r="CKY3" t="s">
        <v>1702</v>
      </c>
      <c r="CKZ3" t="s">
        <v>1703</v>
      </c>
      <c r="CLA3" t="s">
        <v>1713</v>
      </c>
      <c r="CLB3" t="s">
        <v>1714</v>
      </c>
      <c r="CLC3" t="s">
        <v>1715</v>
      </c>
      <c r="CLD3" t="s">
        <v>1716</v>
      </c>
      <c r="CLE3" t="s">
        <v>1717</v>
      </c>
      <c r="CLF3" t="s">
        <v>1718</v>
      </c>
      <c r="CLG3" t="e">
        <f>+v/2</f>
        <v>#NAME?</v>
      </c>
      <c r="CLH3" t="s">
        <v>1710</v>
      </c>
      <c r="CLI3" t="s">
        <v>1711</v>
      </c>
      <c r="CLJ3" t="s">
        <v>1719</v>
      </c>
      <c r="CLK3" t="s">
        <v>1702</v>
      </c>
      <c r="CLL3" t="s">
        <v>1720</v>
      </c>
      <c r="CLM3" t="s">
        <v>1705</v>
      </c>
      <c r="CLN3" t="s">
        <v>1706</v>
      </c>
      <c r="CLO3" t="s">
        <v>1707</v>
      </c>
      <c r="CLP3" t="s">
        <v>1708</v>
      </c>
      <c r="CLQ3" t="s">
        <v>1709</v>
      </c>
      <c r="CLR3" t="s">
        <v>1721</v>
      </c>
      <c r="CLS3" t="s">
        <v>1714</v>
      </c>
      <c r="CLT3" t="s">
        <v>1715</v>
      </c>
      <c r="CLU3" t="s">
        <v>1716</v>
      </c>
      <c r="CLV3" t="s">
        <v>1717</v>
      </c>
      <c r="CLW3" t="s">
        <v>1718</v>
      </c>
      <c r="CLX3" t="e">
        <f>+v/2</f>
        <v>#NAME?</v>
      </c>
      <c r="CLY3" t="s">
        <v>1722</v>
      </c>
      <c r="CLZ3" t="s">
        <v>1703</v>
      </c>
      <c r="CMA3" t="s">
        <v>1723</v>
      </c>
      <c r="CMB3" t="s">
        <v>1710</v>
      </c>
      <c r="CMC3" t="s">
        <v>1711</v>
      </c>
      <c r="CMD3" t="s">
        <v>1724</v>
      </c>
      <c r="CME3" t="s">
        <v>1703</v>
      </c>
      <c r="CMF3" t="s">
        <v>1725</v>
      </c>
      <c r="CMG3" t="s">
        <v>1726</v>
      </c>
      <c r="CMH3" t="e">
        <f>+(v=l)</f>
        <v>#NAME?</v>
      </c>
      <c r="CMI3" t="s">
        <v>1710</v>
      </c>
      <c r="CMJ3" t="s">
        <v>1711</v>
      </c>
      <c r="CMK3" t="s">
        <v>1727</v>
      </c>
      <c r="CML3" t="s">
        <v>1703</v>
      </c>
      <c r="CMM3" t="s">
        <v>1728</v>
      </c>
      <c r="CMN3" t="s">
        <v>1729</v>
      </c>
      <c r="CMO3" t="e">
        <f>+v/2</f>
        <v>#NAME?</v>
      </c>
      <c r="CMP3" t="s">
        <v>1710</v>
      </c>
      <c r="CMQ3" t="s">
        <v>1711</v>
      </c>
      <c r="CMR3" t="s">
        <v>1730</v>
      </c>
      <c r="CMS3" t="s">
        <v>1731</v>
      </c>
      <c r="CMT3" t="s">
        <v>1726</v>
      </c>
      <c r="CMU3" t="s">
        <v>1732</v>
      </c>
      <c r="CMV3" t="s">
        <v>1733</v>
      </c>
      <c r="CMW3" t="e">
        <f>+v/2</f>
        <v>#NAME?</v>
      </c>
      <c r="CMX3" t="s">
        <v>1722</v>
      </c>
      <c r="CMY3" t="s">
        <v>1703</v>
      </c>
      <c r="CMZ3" t="s">
        <v>1723</v>
      </c>
      <c r="CNA3" t="s">
        <v>1710</v>
      </c>
      <c r="CNB3" t="s">
        <v>1711</v>
      </c>
      <c r="CNC3" t="s">
        <v>1734</v>
      </c>
      <c r="CND3" t="s">
        <v>1735</v>
      </c>
      <c r="CNE3" t="s">
        <v>1736</v>
      </c>
      <c r="CNF3" t="s">
        <v>1737</v>
      </c>
      <c r="CNG3">
        <v>1</v>
      </c>
      <c r="CNH3" t="s">
        <v>1738</v>
      </c>
      <c r="CNI3" t="s">
        <v>1739</v>
      </c>
      <c r="CNJ3" t="s">
        <v>1740</v>
      </c>
      <c r="CNK3" t="s">
        <v>1741</v>
      </c>
      <c r="CNL3" t="s">
        <v>1742</v>
      </c>
      <c r="CNM3" t="s">
        <v>1710</v>
      </c>
      <c r="CNN3" t="s">
        <v>1743</v>
      </c>
      <c r="CNO3" t="s">
        <v>1744</v>
      </c>
      <c r="CNP3" t="s">
        <v>1745</v>
      </c>
      <c r="CNQ3" t="s">
        <v>48</v>
      </c>
      <c r="CNR3" t="s">
        <v>1746</v>
      </c>
      <c r="CNS3" t="s">
        <v>1747</v>
      </c>
      <c r="CNT3" t="s">
        <v>1748</v>
      </c>
      <c r="CNU3" t="s">
        <v>1749</v>
      </c>
      <c r="CNV3" t="s">
        <v>1750</v>
      </c>
      <c r="CNW3" t="s">
        <v>1751</v>
      </c>
      <c r="CNX3" t="s">
        <v>1752</v>
      </c>
      <c r="CNY3" t="s">
        <v>1753</v>
      </c>
      <c r="CNZ3" t="s">
        <v>1754</v>
      </c>
      <c r="COA3" t="s">
        <v>1755</v>
      </c>
      <c r="COB3" t="s">
        <v>1756</v>
      </c>
      <c r="COC3" t="s">
        <v>1757</v>
      </c>
      <c r="COD3" t="s">
        <v>1758</v>
      </c>
      <c r="COE3" t="s">
        <v>1751</v>
      </c>
      <c r="COF3" t="s">
        <v>1759</v>
      </c>
      <c r="COG3" t="s">
        <v>1760</v>
      </c>
      <c r="COH3" t="s">
        <v>1761</v>
      </c>
      <c r="COI3" t="s">
        <v>1762</v>
      </c>
      <c r="COJ3" t="s">
        <v>1763</v>
      </c>
      <c r="COK3" t="s">
        <v>1764</v>
      </c>
      <c r="COL3" t="s">
        <v>1494</v>
      </c>
      <c r="COM3" t="s">
        <v>1765</v>
      </c>
      <c r="CON3" t="s">
        <v>1545</v>
      </c>
      <c r="COO3" t="s">
        <v>1766</v>
      </c>
      <c r="COP3" t="s">
        <v>393</v>
      </c>
      <c r="COQ3" t="s">
        <v>1767</v>
      </c>
      <c r="COR3" t="s">
        <v>1768</v>
      </c>
      <c r="COS3" t="s">
        <v>1769</v>
      </c>
      <c r="COT3" t="s">
        <v>1600</v>
      </c>
      <c r="COU3" t="s">
        <v>1770</v>
      </c>
      <c r="COV3" t="s">
        <v>393</v>
      </c>
      <c r="COW3" t="s">
        <v>1771</v>
      </c>
      <c r="COX3" t="s">
        <v>1772</v>
      </c>
      <c r="COY3" t="s">
        <v>1600</v>
      </c>
      <c r="COZ3" t="s">
        <v>1773</v>
      </c>
      <c r="CPA3" t="s">
        <v>44</v>
      </c>
      <c r="CPB3" t="s">
        <v>1774</v>
      </c>
      <c r="CPC3" t="s">
        <v>1775</v>
      </c>
      <c r="CPD3" t="s">
        <v>44</v>
      </c>
      <c r="CPE3" t="s">
        <v>125</v>
      </c>
      <c r="CPF3" t="s">
        <v>1776</v>
      </c>
      <c r="CPG3" t="s">
        <v>1562</v>
      </c>
      <c r="CPH3" t="s">
        <v>44</v>
      </c>
      <c r="CPI3" t="s">
        <v>47</v>
      </c>
      <c r="CPJ3" t="s">
        <v>125</v>
      </c>
      <c r="CPK3" t="s">
        <v>1777</v>
      </c>
      <c r="CPL3" t="s">
        <v>1778</v>
      </c>
      <c r="CPM3" t="s">
        <v>44</v>
      </c>
      <c r="CPN3" t="s">
        <v>125</v>
      </c>
      <c r="CPO3" t="s">
        <v>126</v>
      </c>
      <c r="CPP3" t="s">
        <v>47</v>
      </c>
      <c r="CPQ3" t="s">
        <v>1779</v>
      </c>
      <c r="CPR3" t="s">
        <v>1780</v>
      </c>
      <c r="CPS3" t="s">
        <v>1781</v>
      </c>
      <c r="CPT3" t="s">
        <v>1782</v>
      </c>
      <c r="CPU3" t="s">
        <v>1783</v>
      </c>
      <c r="CPV3" t="s">
        <v>1784</v>
      </c>
      <c r="CPW3" t="s">
        <v>1785</v>
      </c>
      <c r="CPX3" t="s">
        <v>1336</v>
      </c>
      <c r="CPY3" t="s">
        <v>1786</v>
      </c>
      <c r="CPZ3" t="s">
        <v>1787</v>
      </c>
      <c r="CQA3" t="s">
        <v>1788</v>
      </c>
      <c r="CQB3" t="s">
        <v>254</v>
      </c>
      <c r="CQC3" t="s">
        <v>310</v>
      </c>
      <c r="CQD3" t="s">
        <v>1789</v>
      </c>
      <c r="CQE3" t="s">
        <v>1310</v>
      </c>
      <c r="CQF3" t="s">
        <v>1511</v>
      </c>
      <c r="CQG3" t="s">
        <v>1790</v>
      </c>
      <c r="CQH3" t="s">
        <v>1791</v>
      </c>
      <c r="CQI3" t="s">
        <v>1792</v>
      </c>
      <c r="CQJ3" t="s">
        <v>1793</v>
      </c>
      <c r="CQK3" t="s">
        <v>1794</v>
      </c>
      <c r="CQL3" t="s">
        <v>1795</v>
      </c>
      <c r="CQM3" t="s">
        <v>1796</v>
      </c>
      <c r="CQN3">
        <v>0</v>
      </c>
      <c r="CQO3">
        <v>0</v>
      </c>
      <c r="CQP3" t="s">
        <v>1797</v>
      </c>
      <c r="CQQ3" t="s">
        <v>1798</v>
      </c>
      <c r="CQR3" t="s">
        <v>1799</v>
      </c>
      <c r="CQS3" t="s">
        <v>1800</v>
      </c>
      <c r="CQT3" t="s">
        <v>1801</v>
      </c>
      <c r="CQU3" t="s">
        <v>1802</v>
      </c>
      <c r="CQV3" t="s">
        <v>1803</v>
      </c>
      <c r="CQW3" t="s">
        <v>1804</v>
      </c>
      <c r="CQX3" t="s">
        <v>1805</v>
      </c>
      <c r="CQY3" t="s">
        <v>1806</v>
      </c>
      <c r="CQZ3" t="s">
        <v>1807</v>
      </c>
      <c r="CRA3" t="s">
        <v>1808</v>
      </c>
      <c r="CRB3" t="s">
        <v>47</v>
      </c>
      <c r="CRC3" t="s">
        <v>325</v>
      </c>
      <c r="CRD3" t="s">
        <v>267</v>
      </c>
      <c r="CRE3" t="s">
        <v>1809</v>
      </c>
      <c r="CRF3" t="s">
        <v>1810</v>
      </c>
      <c r="CRG3" t="s">
        <v>1052</v>
      </c>
      <c r="CRH3" t="s">
        <v>1811</v>
      </c>
      <c r="CRI3" t="s">
        <v>1812</v>
      </c>
      <c r="CRJ3" t="s">
        <v>1813</v>
      </c>
      <c r="CRK3" t="s">
        <v>1814</v>
      </c>
      <c r="CRL3" t="s">
        <v>1806</v>
      </c>
      <c r="CRM3" t="s">
        <v>1815</v>
      </c>
      <c r="CRN3" t="s">
        <v>1816</v>
      </c>
      <c r="CRO3" t="s">
        <v>1806</v>
      </c>
      <c r="CRP3" t="s">
        <v>1494</v>
      </c>
      <c r="CRQ3" t="s">
        <v>1817</v>
      </c>
      <c r="CRR3" t="s">
        <v>1818</v>
      </c>
      <c r="CRS3" t="s">
        <v>1806</v>
      </c>
      <c r="CRT3" t="s">
        <v>1498</v>
      </c>
      <c r="CRU3" t="s">
        <v>1819</v>
      </c>
      <c r="CRV3" t="s">
        <v>1806</v>
      </c>
      <c r="CRW3" t="s">
        <v>1820</v>
      </c>
      <c r="CRX3" t="s">
        <v>1821</v>
      </c>
      <c r="CRY3" t="s">
        <v>1502</v>
      </c>
      <c r="CRZ3" t="s">
        <v>47</v>
      </c>
      <c r="CSA3" t="s">
        <v>1822</v>
      </c>
      <c r="CSB3" t="s">
        <v>1693</v>
      </c>
      <c r="CSC3" t="s">
        <v>1823</v>
      </c>
      <c r="CSD3" t="s">
        <v>1824</v>
      </c>
      <c r="CSE3" t="s">
        <v>1825</v>
      </c>
      <c r="CSF3" t="s">
        <v>1826</v>
      </c>
      <c r="CSG3" t="s">
        <v>1827</v>
      </c>
      <c r="CSH3" t="s">
        <v>1828</v>
      </c>
      <c r="CSI3" t="s">
        <v>1829</v>
      </c>
      <c r="CSJ3" t="s">
        <v>1830</v>
      </c>
      <c r="CSK3" t="s">
        <v>1831</v>
      </c>
      <c r="CSL3" t="s">
        <v>1832</v>
      </c>
      <c r="CSM3" t="s">
        <v>1833</v>
      </c>
      <c r="CSN3" t="s">
        <v>1834</v>
      </c>
      <c r="CSO3" t="s">
        <v>598</v>
      </c>
      <c r="CSP3" t="s">
        <v>1835</v>
      </c>
      <c r="CSQ3" t="s">
        <v>1836</v>
      </c>
      <c r="CSR3" t="s">
        <v>1837</v>
      </c>
      <c r="CSS3" t="s">
        <v>1838</v>
      </c>
      <c r="CST3" t="s">
        <v>1839</v>
      </c>
      <c r="CSU3" t="s">
        <v>1840</v>
      </c>
      <c r="CSV3" t="s">
        <v>1841</v>
      </c>
      <c r="CSW3" t="s">
        <v>1842</v>
      </c>
      <c r="CSX3" t="s">
        <v>1843</v>
      </c>
      <c r="CSY3" t="s">
        <v>1844</v>
      </c>
      <c r="CSZ3" t="s">
        <v>1845</v>
      </c>
      <c r="CTA3" t="s">
        <v>1846</v>
      </c>
      <c r="CTB3" t="s">
        <v>1847</v>
      </c>
      <c r="CTC3" t="s">
        <v>1848</v>
      </c>
      <c r="CTD3" t="s">
        <v>1849</v>
      </c>
      <c r="CTE3" t="s">
        <v>1850</v>
      </c>
      <c r="CTF3" t="s">
        <v>1851</v>
      </c>
      <c r="CTG3" t="s">
        <v>1852</v>
      </c>
      <c r="CTH3" t="s">
        <v>1853</v>
      </c>
      <c r="CTI3" t="s">
        <v>1854</v>
      </c>
      <c r="CTJ3" t="s">
        <v>1855</v>
      </c>
      <c r="CTK3" t="s">
        <v>1856</v>
      </c>
      <c r="CTL3" t="s">
        <v>1857</v>
      </c>
      <c r="CTM3" t="s">
        <v>1858</v>
      </c>
      <c r="CTN3" t="s">
        <v>1859</v>
      </c>
      <c r="CTO3" t="s">
        <v>1841</v>
      </c>
      <c r="CTP3" t="s">
        <v>1860</v>
      </c>
      <c r="CTQ3" t="s">
        <v>1843</v>
      </c>
      <c r="CTR3" t="s">
        <v>1844</v>
      </c>
      <c r="CTS3" t="s">
        <v>1861</v>
      </c>
      <c r="CTT3" t="s">
        <v>1862</v>
      </c>
      <c r="CTU3" t="s">
        <v>1863</v>
      </c>
      <c r="CTV3" t="s">
        <v>1864</v>
      </c>
      <c r="CTW3" t="s">
        <v>1865</v>
      </c>
      <c r="CTX3" t="s">
        <v>1866</v>
      </c>
      <c r="CTY3" t="s">
        <v>1867</v>
      </c>
      <c r="CTZ3" t="s">
        <v>1841</v>
      </c>
      <c r="CUA3" t="s">
        <v>1868</v>
      </c>
      <c r="CUB3" t="s">
        <v>1869</v>
      </c>
      <c r="CUC3" t="s">
        <v>1870</v>
      </c>
      <c r="CUD3" t="s">
        <v>1871</v>
      </c>
      <c r="CUE3" t="s">
        <v>1872</v>
      </c>
      <c r="CUF3" t="s">
        <v>1873</v>
      </c>
      <c r="CUG3" t="s">
        <v>1874</v>
      </c>
      <c r="CUH3" t="s">
        <v>1875</v>
      </c>
      <c r="CUI3" t="s">
        <v>1876</v>
      </c>
      <c r="CUJ3" t="s">
        <v>1877</v>
      </c>
      <c r="CUK3" t="s">
        <v>1878</v>
      </c>
      <c r="CUL3" t="s">
        <v>1879</v>
      </c>
      <c r="CUM3" t="s">
        <v>1880</v>
      </c>
      <c r="CUN3" t="s">
        <v>1503</v>
      </c>
      <c r="CUO3" t="s">
        <v>1881</v>
      </c>
      <c r="CUP3" t="s">
        <v>1882</v>
      </c>
      <c r="CUQ3" t="s">
        <v>1883</v>
      </c>
      <c r="CUR3" t="s">
        <v>1884</v>
      </c>
      <c r="CUS3" t="s">
        <v>1885</v>
      </c>
      <c r="CUT3" t="s">
        <v>1886</v>
      </c>
      <c r="CUU3" t="s">
        <v>1887</v>
      </c>
      <c r="CUV3" t="s">
        <v>1888</v>
      </c>
      <c r="CUW3" t="s">
        <v>1889</v>
      </c>
      <c r="CUX3" t="s">
        <v>1890</v>
      </c>
      <c r="CUY3" t="s">
        <v>1891</v>
      </c>
      <c r="CUZ3" t="s">
        <v>1828</v>
      </c>
      <c r="CVA3" t="s">
        <v>1892</v>
      </c>
      <c r="CVB3" t="s">
        <v>1893</v>
      </c>
      <c r="CVC3" t="s">
        <v>1894</v>
      </c>
      <c r="CVD3" t="s">
        <v>1895</v>
      </c>
      <c r="CVE3" t="s">
        <v>1896</v>
      </c>
      <c r="CVF3" t="s">
        <v>44</v>
      </c>
      <c r="CVG3" t="s">
        <v>125</v>
      </c>
      <c r="CVH3" t="s">
        <v>46</v>
      </c>
      <c r="CVI3" t="s">
        <v>1897</v>
      </c>
      <c r="CVJ3" t="s">
        <v>1898</v>
      </c>
      <c r="CVK3" t="s">
        <v>1899</v>
      </c>
      <c r="CVL3" t="s">
        <v>1900</v>
      </c>
      <c r="CVM3" t="s">
        <v>1901</v>
      </c>
      <c r="CVN3" t="s">
        <v>1902</v>
      </c>
      <c r="CVO3" t="s">
        <v>1903</v>
      </c>
      <c r="CVP3" t="s">
        <v>515</v>
      </c>
      <c r="CVQ3" t="s">
        <v>1904</v>
      </c>
      <c r="CVR3" t="s">
        <v>1905</v>
      </c>
      <c r="CVS3" t="s">
        <v>1906</v>
      </c>
      <c r="CVT3" t="s">
        <v>1907</v>
      </c>
      <c r="CVU3" t="s">
        <v>44</v>
      </c>
      <c r="CVV3" t="s">
        <v>1908</v>
      </c>
      <c r="CVW3" t="s">
        <v>1909</v>
      </c>
      <c r="CVX3" t="s">
        <v>1910</v>
      </c>
      <c r="CVY3" t="s">
        <v>1911</v>
      </c>
      <c r="CVZ3" t="s">
        <v>1912</v>
      </c>
      <c r="CWA3" t="s">
        <v>1913</v>
      </c>
      <c r="CWB3" t="s">
        <v>44</v>
      </c>
      <c r="CWC3" t="s">
        <v>125</v>
      </c>
      <c r="CWD3" t="s">
        <v>1914</v>
      </c>
      <c r="CWE3" t="s">
        <v>1915</v>
      </c>
      <c r="CWF3" t="s">
        <v>1916</v>
      </c>
      <c r="CWG3" t="s">
        <v>1917</v>
      </c>
      <c r="CWH3" t="s">
        <v>1918</v>
      </c>
      <c r="CWI3" t="s">
        <v>1919</v>
      </c>
      <c r="CWJ3" t="s">
        <v>1920</v>
      </c>
      <c r="CWK3" t="s">
        <v>1919</v>
      </c>
      <c r="CWL3" t="s">
        <v>1921</v>
      </c>
      <c r="CWM3" t="s">
        <v>1922</v>
      </c>
      <c r="CWN3" t="s">
        <v>1923</v>
      </c>
      <c r="CWO3" t="s">
        <v>1924</v>
      </c>
      <c r="CWP3" t="s">
        <v>1925</v>
      </c>
      <c r="CWQ3" t="s">
        <v>1926</v>
      </c>
      <c r="CWR3" t="s">
        <v>1927</v>
      </c>
      <c r="CWS3" t="s">
        <v>44</v>
      </c>
      <c r="CWT3" t="s">
        <v>1928</v>
      </c>
      <c r="CWU3" t="s">
        <v>1929</v>
      </c>
      <c r="CWV3" t="s">
        <v>1930</v>
      </c>
      <c r="CWW3" t="s">
        <v>44</v>
      </c>
      <c r="CWX3" t="s">
        <v>1931</v>
      </c>
      <c r="CWY3" t="s">
        <v>1932</v>
      </c>
      <c r="CWZ3" t="s">
        <v>44</v>
      </c>
      <c r="CXA3" t="s">
        <v>1933</v>
      </c>
      <c r="CXB3" t="s">
        <v>1934</v>
      </c>
      <c r="CXC3" t="s">
        <v>1935</v>
      </c>
      <c r="CXD3" t="s">
        <v>44</v>
      </c>
      <c r="CXE3" t="s">
        <v>1936</v>
      </c>
      <c r="CXF3" t="s">
        <v>1937</v>
      </c>
      <c r="CXG3" t="s">
        <v>44</v>
      </c>
      <c r="CXH3" t="s">
        <v>1938</v>
      </c>
      <c r="CXI3" t="s">
        <v>896</v>
      </c>
      <c r="CXJ3" t="s">
        <v>1939</v>
      </c>
      <c r="CXK3" t="s">
        <v>1308</v>
      </c>
      <c r="CXL3" t="s">
        <v>255</v>
      </c>
      <c r="CXM3" t="s">
        <v>1940</v>
      </c>
      <c r="CXN3" t="s">
        <v>1941</v>
      </c>
      <c r="CXO3" t="s">
        <v>1882</v>
      </c>
      <c r="CXP3" t="s">
        <v>1942</v>
      </c>
      <c r="CXQ3" t="s">
        <v>1943</v>
      </c>
      <c r="CXR3" t="s">
        <v>1944</v>
      </c>
      <c r="CXS3" t="s">
        <v>1945</v>
      </c>
      <c r="CXT3" t="s">
        <v>1946</v>
      </c>
      <c r="CXU3" t="s">
        <v>1947</v>
      </c>
      <c r="CXV3" t="s">
        <v>1948</v>
      </c>
      <c r="CXW3" t="s">
        <v>1949</v>
      </c>
      <c r="CXX3" t="s">
        <v>1950</v>
      </c>
      <c r="CXY3" t="s">
        <v>1951</v>
      </c>
      <c r="CXZ3" t="s">
        <v>1952</v>
      </c>
      <c r="CYA3" t="s">
        <v>1310</v>
      </c>
      <c r="CYB3" t="s">
        <v>1511</v>
      </c>
      <c r="CYC3" t="s">
        <v>1953</v>
      </c>
      <c r="CYD3" t="s">
        <v>1954</v>
      </c>
      <c r="CYE3" t="s">
        <v>1955</v>
      </c>
      <c r="CYF3" t="s">
        <v>1956</v>
      </c>
      <c r="CYG3" t="s">
        <v>1957</v>
      </c>
      <c r="CYH3" t="s">
        <v>1958</v>
      </c>
      <c r="CYI3" t="s">
        <v>1959</v>
      </c>
      <c r="CYJ3" t="s">
        <v>1960</v>
      </c>
      <c r="CYK3" t="s">
        <v>1961</v>
      </c>
      <c r="CYL3" t="s">
        <v>1503</v>
      </c>
      <c r="CYM3" t="s">
        <v>511</v>
      </c>
      <c r="CYN3" t="s">
        <v>1962</v>
      </c>
      <c r="CYO3" t="s">
        <v>1963</v>
      </c>
      <c r="CYP3" t="s">
        <v>1964</v>
      </c>
      <c r="CYQ3" t="s">
        <v>1965</v>
      </c>
      <c r="CYR3" t="s">
        <v>1966</v>
      </c>
      <c r="CYS3" t="s">
        <v>1967</v>
      </c>
      <c r="CYT3" t="s">
        <v>1968</v>
      </c>
      <c r="CYU3" t="s">
        <v>1969</v>
      </c>
      <c r="CYV3" t="s">
        <v>1970</v>
      </c>
      <c r="CYW3" t="s">
        <v>1971</v>
      </c>
      <c r="CYX3" t="s">
        <v>1972</v>
      </c>
      <c r="CYY3" t="s">
        <v>1973</v>
      </c>
      <c r="CYZ3" t="s">
        <v>1966</v>
      </c>
      <c r="CZA3" t="s">
        <v>1974</v>
      </c>
      <c r="CZB3" t="s">
        <v>1975</v>
      </c>
      <c r="CZC3" t="s">
        <v>1976</v>
      </c>
      <c r="CZD3" t="s">
        <v>1977</v>
      </c>
      <c r="CZE3" t="s">
        <v>1978</v>
      </c>
      <c r="CZF3" t="s">
        <v>1968</v>
      </c>
      <c r="CZG3" t="s">
        <v>1969</v>
      </c>
      <c r="CZH3" t="s">
        <v>1979</v>
      </c>
      <c r="CZI3" t="s">
        <v>1980</v>
      </c>
      <c r="CZJ3" t="s">
        <v>1976</v>
      </c>
      <c r="CZK3" t="s">
        <v>1981</v>
      </c>
      <c r="CZL3" t="s">
        <v>1982</v>
      </c>
      <c r="CZM3" t="s">
        <v>44</v>
      </c>
      <c r="CZN3" t="s">
        <v>1983</v>
      </c>
      <c r="CZO3">
        <v>1</v>
      </c>
      <c r="CZP3" t="s">
        <v>1400</v>
      </c>
      <c r="CZQ3" t="s">
        <v>1984</v>
      </c>
      <c r="CZR3" t="s">
        <v>44</v>
      </c>
      <c r="CZS3" t="s">
        <v>1985</v>
      </c>
      <c r="CZT3">
        <v>0</v>
      </c>
      <c r="CZU3" t="s">
        <v>1400</v>
      </c>
      <c r="CZV3" t="s">
        <v>1986</v>
      </c>
      <c r="CZW3" t="s">
        <v>44</v>
      </c>
      <c r="CZX3" t="s">
        <v>1987</v>
      </c>
      <c r="CZY3">
        <v>0</v>
      </c>
      <c r="CZZ3" t="s">
        <v>1400</v>
      </c>
      <c r="DAA3" t="s">
        <v>1988</v>
      </c>
      <c r="DAB3" t="s">
        <v>44</v>
      </c>
      <c r="DAC3" t="s">
        <v>1989</v>
      </c>
      <c r="DAD3">
        <v>1</v>
      </c>
      <c r="DAE3" t="s">
        <v>1990</v>
      </c>
      <c r="DAF3" t="s">
        <v>1991</v>
      </c>
      <c r="DAG3" t="s">
        <v>44</v>
      </c>
      <c r="DAH3" t="s">
        <v>1992</v>
      </c>
      <c r="DAI3">
        <v>0</v>
      </c>
      <c r="DAJ3" t="s">
        <v>1993</v>
      </c>
      <c r="DAK3" t="s">
        <v>1994</v>
      </c>
      <c r="DAL3">
        <v>1</v>
      </c>
      <c r="DAM3" t="s">
        <v>1995</v>
      </c>
      <c r="DAN3" t="s">
        <v>1996</v>
      </c>
      <c r="DAO3" t="s">
        <v>1997</v>
      </c>
      <c r="DAP3" t="s">
        <v>1998</v>
      </c>
      <c r="DAQ3" t="s">
        <v>1999</v>
      </c>
      <c r="DAR3" t="s">
        <v>2000</v>
      </c>
      <c r="DAS3" t="s">
        <v>2001</v>
      </c>
      <c r="DAT3" t="s">
        <v>2002</v>
      </c>
      <c r="DAU3" t="s">
        <v>2003</v>
      </c>
      <c r="DAV3" t="s">
        <v>2004</v>
      </c>
      <c r="DAW3" t="s">
        <v>2005</v>
      </c>
      <c r="DAX3" t="s">
        <v>2006</v>
      </c>
      <c r="DAY3" t="s">
        <v>2007</v>
      </c>
      <c r="DAZ3" t="s">
        <v>861</v>
      </c>
      <c r="DBA3" t="s">
        <v>2008</v>
      </c>
      <c r="DBB3" t="s">
        <v>2009</v>
      </c>
      <c r="DBC3" t="s">
        <v>2010</v>
      </c>
      <c r="DBD3" t="s">
        <v>2011</v>
      </c>
      <c r="DBE3" t="s">
        <v>2012</v>
      </c>
      <c r="DBF3" t="s">
        <v>2013</v>
      </c>
      <c r="DBG3" t="s">
        <v>2014</v>
      </c>
      <c r="DBH3" t="s">
        <v>2015</v>
      </c>
      <c r="DBI3" t="s">
        <v>2016</v>
      </c>
      <c r="DBJ3" t="s">
        <v>2017</v>
      </c>
      <c r="DBK3" t="s">
        <v>1980</v>
      </c>
      <c r="DBL3" t="s">
        <v>2018</v>
      </c>
      <c r="DBM3" t="s">
        <v>2019</v>
      </c>
      <c r="DBN3" t="s">
        <v>2020</v>
      </c>
      <c r="DBO3" t="s">
        <v>2021</v>
      </c>
      <c r="DBP3" t="s">
        <v>2022</v>
      </c>
      <c r="DBQ3" t="s">
        <v>2023</v>
      </c>
      <c r="DBR3" t="s">
        <v>2024</v>
      </c>
      <c r="DBS3" t="s">
        <v>2025</v>
      </c>
      <c r="DBT3" t="s">
        <v>2026</v>
      </c>
      <c r="DBU3" t="s">
        <v>2027</v>
      </c>
      <c r="DBV3" t="s">
        <v>2028</v>
      </c>
      <c r="DBW3" t="s">
        <v>2029</v>
      </c>
      <c r="DBX3" t="s">
        <v>2030</v>
      </c>
      <c r="DBY3" t="s">
        <v>2031</v>
      </c>
      <c r="DBZ3" t="s">
        <v>2032</v>
      </c>
      <c r="DCA3" t="s">
        <v>2033</v>
      </c>
      <c r="DCB3" t="s">
        <v>2034</v>
      </c>
      <c r="DCC3" t="s">
        <v>2035</v>
      </c>
      <c r="DCD3" t="s">
        <v>2036</v>
      </c>
      <c r="DCE3" t="s">
        <v>2037</v>
      </c>
      <c r="DCF3" t="s">
        <v>2038</v>
      </c>
      <c r="DCG3" t="s">
        <v>2039</v>
      </c>
      <c r="DCH3" t="s">
        <v>44</v>
      </c>
      <c r="DCI3" t="s">
        <v>2040</v>
      </c>
      <c r="DCJ3" t="s">
        <v>1503</v>
      </c>
      <c r="DCK3" t="s">
        <v>2041</v>
      </c>
      <c r="DCL3" t="s">
        <v>2042</v>
      </c>
      <c r="DCM3" t="s">
        <v>2043</v>
      </c>
      <c r="DCN3" t="s">
        <v>2044</v>
      </c>
      <c r="DCO3" t="s">
        <v>2045</v>
      </c>
      <c r="DCP3" t="s">
        <v>1685</v>
      </c>
      <c r="DCQ3" t="s">
        <v>2046</v>
      </c>
      <c r="DCR3" t="s">
        <v>2047</v>
      </c>
      <c r="DCS3" t="s">
        <v>2048</v>
      </c>
      <c r="DCT3" t="s">
        <v>2049</v>
      </c>
      <c r="DCU3" t="s">
        <v>2050</v>
      </c>
      <c r="DCV3" t="s">
        <v>2051</v>
      </c>
      <c r="DCW3" t="s">
        <v>2052</v>
      </c>
      <c r="DCX3" t="s">
        <v>2053</v>
      </c>
      <c r="DCY3" t="s">
        <v>2054</v>
      </c>
      <c r="DCZ3" t="s">
        <v>2055</v>
      </c>
      <c r="DDA3" t="s">
        <v>2056</v>
      </c>
      <c r="DDB3">
        <v>0</v>
      </c>
      <c r="DDC3" t="s">
        <v>2057</v>
      </c>
      <c r="DDD3" t="s">
        <v>2058</v>
      </c>
      <c r="DDE3" t="s">
        <v>2059</v>
      </c>
      <c r="DDF3" t="s">
        <v>2060</v>
      </c>
      <c r="DDG3" t="s">
        <v>2061</v>
      </c>
      <c r="DDH3" t="s">
        <v>2062</v>
      </c>
      <c r="DDI3" t="s">
        <v>2063</v>
      </c>
      <c r="DDJ3" t="s">
        <v>2064</v>
      </c>
      <c r="DDK3" t="s">
        <v>2065</v>
      </c>
      <c r="DDL3" t="s">
        <v>2066</v>
      </c>
      <c r="DDM3" t="s">
        <v>2067</v>
      </c>
      <c r="DDN3" t="s">
        <v>2068</v>
      </c>
      <c r="DDO3" t="s">
        <v>2069</v>
      </c>
      <c r="DDP3" t="s">
        <v>44</v>
      </c>
      <c r="DDQ3" t="s">
        <v>2070</v>
      </c>
      <c r="DDR3" t="s">
        <v>2071</v>
      </c>
      <c r="DDS3" t="s">
        <v>2072</v>
      </c>
      <c r="DDT3" t="s">
        <v>2073</v>
      </c>
      <c r="DDU3" t="s">
        <v>2074</v>
      </c>
      <c r="DDV3" t="s">
        <v>44</v>
      </c>
      <c r="DDW3" t="s">
        <v>2075</v>
      </c>
      <c r="DDX3" t="s">
        <v>2076</v>
      </c>
      <c r="DDY3" t="s">
        <v>2077</v>
      </c>
      <c r="DDZ3" t="s">
        <v>2078</v>
      </c>
      <c r="DEA3" t="s">
        <v>44</v>
      </c>
      <c r="DEB3" t="s">
        <v>2079</v>
      </c>
      <c r="DEC3" t="s">
        <v>2080</v>
      </c>
      <c r="DED3" t="s">
        <v>2081</v>
      </c>
      <c r="DEE3" t="s">
        <v>2082</v>
      </c>
      <c r="DEF3" t="s">
        <v>2083</v>
      </c>
      <c r="DEG3" t="s">
        <v>2084</v>
      </c>
      <c r="DEH3" t="s">
        <v>2085</v>
      </c>
      <c r="DEI3" t="s">
        <v>2086</v>
      </c>
      <c r="DEJ3" t="s">
        <v>2087</v>
      </c>
      <c r="DEK3" t="s">
        <v>1352</v>
      </c>
      <c r="DEL3" t="s">
        <v>2088</v>
      </c>
      <c r="DEM3" t="s">
        <v>2089</v>
      </c>
      <c r="DEN3" t="s">
        <v>2074</v>
      </c>
      <c r="DEO3" t="s">
        <v>44</v>
      </c>
      <c r="DEP3" t="s">
        <v>2075</v>
      </c>
      <c r="DEQ3" t="s">
        <v>2090</v>
      </c>
      <c r="DER3" t="s">
        <v>2091</v>
      </c>
      <c r="DES3" t="s">
        <v>2092</v>
      </c>
      <c r="DET3" t="s">
        <v>44</v>
      </c>
      <c r="DEU3" t="s">
        <v>2079</v>
      </c>
      <c r="DEV3" t="s">
        <v>2080</v>
      </c>
      <c r="DEW3" t="s">
        <v>2093</v>
      </c>
      <c r="DEX3" t="s">
        <v>2094</v>
      </c>
      <c r="DEY3" t="s">
        <v>2095</v>
      </c>
      <c r="DEZ3" t="s">
        <v>2084</v>
      </c>
      <c r="DFA3" t="s">
        <v>2096</v>
      </c>
      <c r="DFB3" t="s">
        <v>2097</v>
      </c>
      <c r="DFC3" t="s">
        <v>2087</v>
      </c>
      <c r="DFD3" t="s">
        <v>1352</v>
      </c>
      <c r="DFE3" t="s">
        <v>2098</v>
      </c>
      <c r="DFF3" t="s">
        <v>44</v>
      </c>
      <c r="DFG3" t="s">
        <v>2099</v>
      </c>
      <c r="DFH3" t="s">
        <v>2094</v>
      </c>
      <c r="DFI3" t="s">
        <v>2100</v>
      </c>
      <c r="DFJ3" t="s">
        <v>2101</v>
      </c>
      <c r="DFK3" t="s">
        <v>2102</v>
      </c>
      <c r="DFL3" t="s">
        <v>2103</v>
      </c>
      <c r="DFM3" t="s">
        <v>2104</v>
      </c>
      <c r="DFN3" t="s">
        <v>2105</v>
      </c>
      <c r="DFO3" t="s">
        <v>2106</v>
      </c>
      <c r="DFP3" t="s">
        <v>2107</v>
      </c>
      <c r="DFQ3" t="s">
        <v>44</v>
      </c>
      <c r="DFR3" t="s">
        <v>2108</v>
      </c>
      <c r="DFS3" t="s">
        <v>2109</v>
      </c>
      <c r="DFT3" t="s">
        <v>2110</v>
      </c>
      <c r="DFU3" t="s">
        <v>2111</v>
      </c>
      <c r="DFV3" t="s">
        <v>2112</v>
      </c>
      <c r="DFW3" t="s">
        <v>1470</v>
      </c>
      <c r="DFX3" t="s">
        <v>2113</v>
      </c>
      <c r="DFY3" t="s">
        <v>2114</v>
      </c>
      <c r="DFZ3" t="s">
        <v>2115</v>
      </c>
      <c r="DGA3" t="s">
        <v>2116</v>
      </c>
      <c r="DGB3" t="s">
        <v>2117</v>
      </c>
      <c r="DGC3" t="s">
        <v>2118</v>
      </c>
      <c r="DGD3" t="s">
        <v>2119</v>
      </c>
      <c r="DGE3" t="s">
        <v>2120</v>
      </c>
      <c r="DGF3" t="s">
        <v>2121</v>
      </c>
      <c r="DGG3" t="s">
        <v>2122</v>
      </c>
      <c r="DGH3" t="s">
        <v>2123</v>
      </c>
      <c r="DGI3" t="s">
        <v>2124</v>
      </c>
      <c r="DGJ3" t="s">
        <v>2125</v>
      </c>
      <c r="DGK3" t="s">
        <v>2126</v>
      </c>
      <c r="DGL3" t="s">
        <v>2127</v>
      </c>
      <c r="DGM3" t="s">
        <v>2128</v>
      </c>
      <c r="DGN3" t="s">
        <v>2129</v>
      </c>
      <c r="DGO3" t="s">
        <v>2130</v>
      </c>
      <c r="DGP3" t="s">
        <v>2131</v>
      </c>
      <c r="DGQ3" t="s">
        <v>2132</v>
      </c>
      <c r="DGR3" t="s">
        <v>126</v>
      </c>
      <c r="DGS3" t="s">
        <v>2133</v>
      </c>
      <c r="DGT3" t="s">
        <v>2134</v>
      </c>
      <c r="DGU3" t="s">
        <v>2135</v>
      </c>
      <c r="DGV3" t="s">
        <v>2136</v>
      </c>
      <c r="DGW3" t="s">
        <v>2137</v>
      </c>
      <c r="DGX3" t="s">
        <v>2138</v>
      </c>
      <c r="DGY3" t="s">
        <v>2139</v>
      </c>
      <c r="DGZ3" t="s">
        <v>2140</v>
      </c>
      <c r="DHA3" t="s">
        <v>2141</v>
      </c>
      <c r="DHB3" t="s">
        <v>2142</v>
      </c>
      <c r="DHC3" t="s">
        <v>2143</v>
      </c>
      <c r="DHD3" t="s">
        <v>2144</v>
      </c>
      <c r="DHE3" t="s">
        <v>2145</v>
      </c>
      <c r="DHF3" t="s">
        <v>2146</v>
      </c>
      <c r="DHG3" t="s">
        <v>2147</v>
      </c>
      <c r="DHH3" t="s">
        <v>2148</v>
      </c>
      <c r="DHI3" t="s">
        <v>2149</v>
      </c>
      <c r="DHJ3" t="s">
        <v>2150</v>
      </c>
      <c r="DHK3" t="s">
        <v>2151</v>
      </c>
      <c r="DHL3" t="s">
        <v>2152</v>
      </c>
      <c r="DHM3" t="s">
        <v>2153</v>
      </c>
      <c r="DHN3" t="s">
        <v>2154</v>
      </c>
      <c r="DHO3" t="s">
        <v>2155</v>
      </c>
      <c r="DHP3" t="s">
        <v>2156</v>
      </c>
      <c r="DHQ3" t="s">
        <v>2157</v>
      </c>
      <c r="DHR3" t="s">
        <v>2158</v>
      </c>
      <c r="DHS3" t="s">
        <v>2159</v>
      </c>
      <c r="DHT3" t="s">
        <v>2160</v>
      </c>
      <c r="DHU3" t="s">
        <v>2161</v>
      </c>
      <c r="DHV3" t="s">
        <v>2162</v>
      </c>
      <c r="DHW3" t="s">
        <v>2163</v>
      </c>
      <c r="DHX3" t="s">
        <v>2164</v>
      </c>
      <c r="DHY3" t="s">
        <v>2165</v>
      </c>
      <c r="DHZ3" t="s">
        <v>2166</v>
      </c>
      <c r="DIA3" t="s">
        <v>2167</v>
      </c>
      <c r="DIB3" t="s">
        <v>2168</v>
      </c>
      <c r="DIC3" t="s">
        <v>2169</v>
      </c>
      <c r="DID3" t="s">
        <v>2170</v>
      </c>
      <c r="DIE3" t="s">
        <v>2171</v>
      </c>
      <c r="DIF3" t="s">
        <v>2172</v>
      </c>
      <c r="DIG3" t="s">
        <v>2173</v>
      </c>
      <c r="DIH3" t="s">
        <v>44</v>
      </c>
      <c r="DII3" t="s">
        <v>2174</v>
      </c>
      <c r="DIJ3" t="s">
        <v>46</v>
      </c>
      <c r="DIK3" t="s">
        <v>47</v>
      </c>
      <c r="DIL3" t="s">
        <v>1503</v>
      </c>
      <c r="DIM3" t="s">
        <v>2175</v>
      </c>
      <c r="DIN3" t="s">
        <v>2176</v>
      </c>
      <c r="DIO3" t="s">
        <v>2177</v>
      </c>
      <c r="DIP3" t="s">
        <v>2178</v>
      </c>
      <c r="DIQ3" t="s">
        <v>2179</v>
      </c>
      <c r="DIR3" t="s">
        <v>2180</v>
      </c>
      <c r="DIS3" t="s">
        <v>2181</v>
      </c>
      <c r="DIT3" t="s">
        <v>2182</v>
      </c>
      <c r="DIU3" t="s">
        <v>2183</v>
      </c>
      <c r="DIV3" t="s">
        <v>44</v>
      </c>
      <c r="DIW3" t="s">
        <v>2184</v>
      </c>
      <c r="DIX3" t="s">
        <v>2185</v>
      </c>
      <c r="DIY3" t="s">
        <v>2186</v>
      </c>
      <c r="DIZ3" t="s">
        <v>2187</v>
      </c>
      <c r="DJA3" t="s">
        <v>2188</v>
      </c>
      <c r="DJB3" t="s">
        <v>2189</v>
      </c>
      <c r="DJC3" t="s">
        <v>2190</v>
      </c>
      <c r="DJD3" t="s">
        <v>2191</v>
      </c>
      <c r="DJE3" t="s">
        <v>2192</v>
      </c>
      <c r="DJF3" t="s">
        <v>2193</v>
      </c>
      <c r="DJG3" t="s">
        <v>2194</v>
      </c>
      <c r="DJH3" t="s">
        <v>2195</v>
      </c>
      <c r="DJI3" t="s">
        <v>2196</v>
      </c>
      <c r="DJJ3" t="s">
        <v>2197</v>
      </c>
      <c r="DJK3" t="s">
        <v>2198</v>
      </c>
      <c r="DJL3" t="s">
        <v>2199</v>
      </c>
      <c r="DJM3" t="s">
        <v>2200</v>
      </c>
      <c r="DJN3" t="s">
        <v>2201</v>
      </c>
      <c r="DJO3" t="s">
        <v>2202</v>
      </c>
      <c r="DJP3" t="s">
        <v>2203</v>
      </c>
      <c r="DJQ3" t="s">
        <v>2204</v>
      </c>
      <c r="DJR3" t="s">
        <v>2205</v>
      </c>
      <c r="DJS3" t="s">
        <v>2206</v>
      </c>
      <c r="DJT3" t="s">
        <v>2207</v>
      </c>
      <c r="DJU3" t="s">
        <v>2208</v>
      </c>
      <c r="DJV3" t="s">
        <v>2209</v>
      </c>
      <c r="DJW3" t="s">
        <v>2210</v>
      </c>
      <c r="DJX3" t="s">
        <v>2211</v>
      </c>
      <c r="DJY3" t="s">
        <v>2212</v>
      </c>
      <c r="DJZ3" t="s">
        <v>2213</v>
      </c>
      <c r="DKA3" t="s">
        <v>2214</v>
      </c>
      <c r="DKB3" t="s">
        <v>2215</v>
      </c>
      <c r="DKC3" t="s">
        <v>2216</v>
      </c>
      <c r="DKD3" t="s">
        <v>2217</v>
      </c>
      <c r="DKE3" t="s">
        <v>2218</v>
      </c>
      <c r="DKF3" t="s">
        <v>44</v>
      </c>
      <c r="DKG3" t="s">
        <v>2219</v>
      </c>
      <c r="DKH3" t="s">
        <v>1279</v>
      </c>
      <c r="DKI3" t="s">
        <v>2220</v>
      </c>
      <c r="DKJ3" t="s">
        <v>2221</v>
      </c>
      <c r="DKK3" t="s">
        <v>2222</v>
      </c>
      <c r="DKL3" t="s">
        <v>2223</v>
      </c>
      <c r="DKM3" t="s">
        <v>2224</v>
      </c>
      <c r="DKN3" t="s">
        <v>2225</v>
      </c>
      <c r="DKO3" t="s">
        <v>2226</v>
      </c>
      <c r="DKP3" t="s">
        <v>2227</v>
      </c>
      <c r="DKQ3" t="s">
        <v>125</v>
      </c>
      <c r="DKR3" t="s">
        <v>2228</v>
      </c>
      <c r="DKS3" t="s">
        <v>2229</v>
      </c>
      <c r="DKT3" t="s">
        <v>2218</v>
      </c>
      <c r="DKU3" t="s">
        <v>44</v>
      </c>
      <c r="DKV3" t="s">
        <v>2219</v>
      </c>
      <c r="DKW3" t="s">
        <v>2230</v>
      </c>
      <c r="DKX3" t="s">
        <v>125</v>
      </c>
      <c r="DKY3" t="s">
        <v>2231</v>
      </c>
      <c r="DKZ3" t="s">
        <v>2232</v>
      </c>
      <c r="DLA3" t="s">
        <v>2233</v>
      </c>
      <c r="DLB3" t="s">
        <v>2218</v>
      </c>
      <c r="DLC3" t="s">
        <v>44</v>
      </c>
      <c r="DLD3" t="s">
        <v>2234</v>
      </c>
      <c r="DLE3" t="s">
        <v>2230</v>
      </c>
      <c r="DLF3" t="s">
        <v>125</v>
      </c>
      <c r="DLG3" t="s">
        <v>2231</v>
      </c>
      <c r="DLH3" t="s">
        <v>1632</v>
      </c>
      <c r="DLI3" t="s">
        <v>2235</v>
      </c>
      <c r="DLJ3" t="s">
        <v>1632</v>
      </c>
      <c r="DLK3" t="s">
        <v>2236</v>
      </c>
      <c r="DLL3" t="s">
        <v>2237</v>
      </c>
      <c r="DLM3" t="s">
        <v>2218</v>
      </c>
      <c r="DLN3" t="s">
        <v>44</v>
      </c>
      <c r="DLO3" t="s">
        <v>2238</v>
      </c>
      <c r="DLP3" t="s">
        <v>1279</v>
      </c>
      <c r="DLQ3" t="s">
        <v>2239</v>
      </c>
      <c r="DLR3" t="s">
        <v>2230</v>
      </c>
      <c r="DLS3" t="s">
        <v>125</v>
      </c>
      <c r="DLT3" t="s">
        <v>2240</v>
      </c>
      <c r="DLU3" t="s">
        <v>2241</v>
      </c>
      <c r="DLV3" t="s">
        <v>2242</v>
      </c>
      <c r="DLW3" t="s">
        <v>2218</v>
      </c>
      <c r="DLX3" t="s">
        <v>44</v>
      </c>
      <c r="DLY3" t="s">
        <v>2243</v>
      </c>
      <c r="DLZ3" t="s">
        <v>1279</v>
      </c>
      <c r="DMA3" t="s">
        <v>2244</v>
      </c>
      <c r="DMB3" t="e">
        <f>+n</f>
        <v>#NAME?</v>
      </c>
      <c r="DMC3" t="s">
        <v>2245</v>
      </c>
      <c r="DMD3" t="e">
        <f>-""+n</f>
        <v>#VALUE!</v>
      </c>
      <c r="DME3" t="s">
        <v>2246</v>
      </c>
      <c r="DMF3" t="e">
        <f>-""+n</f>
        <v>#VALUE!</v>
      </c>
      <c r="DMG3" t="s">
        <v>2247</v>
      </c>
      <c r="DMH3" t="s">
        <v>2248</v>
      </c>
      <c r="DMI3" t="s">
        <v>125</v>
      </c>
      <c r="DMJ3" t="s">
        <v>2033</v>
      </c>
      <c r="DMK3" t="s">
        <v>2249</v>
      </c>
      <c r="DML3" t="s">
        <v>2250</v>
      </c>
      <c r="DMM3" t="s">
        <v>2218</v>
      </c>
      <c r="DMN3" t="s">
        <v>44</v>
      </c>
      <c r="DMO3" t="s">
        <v>2251</v>
      </c>
      <c r="DMP3" t="s">
        <v>2230</v>
      </c>
      <c r="DMQ3" t="s">
        <v>125</v>
      </c>
      <c r="DMR3" t="s">
        <v>2252</v>
      </c>
      <c r="DMS3" t="s">
        <v>2253</v>
      </c>
      <c r="DMT3" t="s">
        <v>2254</v>
      </c>
      <c r="DMU3" t="s">
        <v>2255</v>
      </c>
      <c r="DMV3" t="s">
        <v>2256</v>
      </c>
      <c r="DMW3" t="s">
        <v>2257</v>
      </c>
      <c r="DMX3" t="s">
        <v>2218</v>
      </c>
      <c r="DMY3" t="s">
        <v>44</v>
      </c>
      <c r="DMZ3" t="s">
        <v>2251</v>
      </c>
      <c r="DNA3" t="s">
        <v>2230</v>
      </c>
      <c r="DNB3" t="s">
        <v>125</v>
      </c>
      <c r="DNC3" t="s">
        <v>2252</v>
      </c>
      <c r="DND3" t="s">
        <v>2258</v>
      </c>
      <c r="DNE3" t="s">
        <v>2254</v>
      </c>
      <c r="DNF3" t="s">
        <v>2259</v>
      </c>
      <c r="DNG3" t="s">
        <v>2256</v>
      </c>
      <c r="DNH3" t="s">
        <v>2260</v>
      </c>
      <c r="DNI3" t="s">
        <v>2218</v>
      </c>
      <c r="DNJ3" t="s">
        <v>44</v>
      </c>
      <c r="DNK3" t="s">
        <v>2251</v>
      </c>
      <c r="DNL3" t="s">
        <v>2230</v>
      </c>
      <c r="DNM3" t="s">
        <v>125</v>
      </c>
      <c r="DNN3" t="s">
        <v>2261</v>
      </c>
      <c r="DNO3" t="s">
        <v>2262</v>
      </c>
      <c r="DNP3" t="s">
        <v>2263</v>
      </c>
      <c r="DNQ3" t="s">
        <v>2262</v>
      </c>
      <c r="DNR3" t="s">
        <v>2264</v>
      </c>
      <c r="DNS3" t="s">
        <v>2265</v>
      </c>
      <c r="DNT3" t="s">
        <v>2218</v>
      </c>
      <c r="DNU3" t="s">
        <v>44</v>
      </c>
      <c r="DNV3" t="s">
        <v>2251</v>
      </c>
      <c r="DNW3" t="s">
        <v>2230</v>
      </c>
      <c r="DNX3" t="s">
        <v>125</v>
      </c>
      <c r="DNY3" t="s">
        <v>2266</v>
      </c>
      <c r="DNZ3" t="s">
        <v>2262</v>
      </c>
      <c r="DOA3" t="s">
        <v>2267</v>
      </c>
      <c r="DOB3" t="s">
        <v>2262</v>
      </c>
      <c r="DOC3" t="s">
        <v>2264</v>
      </c>
      <c r="DOD3" t="s">
        <v>2268</v>
      </c>
      <c r="DOE3" t="s">
        <v>2218</v>
      </c>
      <c r="DOF3" t="s">
        <v>44</v>
      </c>
      <c r="DOG3" t="s">
        <v>2269</v>
      </c>
      <c r="DOH3" t="s">
        <v>1279</v>
      </c>
      <c r="DOI3" t="s">
        <v>2239</v>
      </c>
      <c r="DOJ3" t="s">
        <v>2230</v>
      </c>
      <c r="DOK3" t="s">
        <v>125</v>
      </c>
      <c r="DOL3" t="s">
        <v>2270</v>
      </c>
      <c r="DOM3" t="s">
        <v>2271</v>
      </c>
      <c r="DON3" t="s">
        <v>2272</v>
      </c>
      <c r="DOO3" t="s">
        <v>2218</v>
      </c>
      <c r="DOP3" t="s">
        <v>44</v>
      </c>
      <c r="DOQ3" t="s">
        <v>2269</v>
      </c>
      <c r="DOR3" t="s">
        <v>1279</v>
      </c>
      <c r="DOS3" t="s">
        <v>2239</v>
      </c>
      <c r="DOT3" t="s">
        <v>2230</v>
      </c>
      <c r="DOU3" t="s">
        <v>125</v>
      </c>
      <c r="DOV3" t="s">
        <v>2231</v>
      </c>
      <c r="DOW3" t="s">
        <v>2273</v>
      </c>
      <c r="DOX3" t="s">
        <v>2274</v>
      </c>
      <c r="DOY3" t="s">
        <v>2218</v>
      </c>
      <c r="DOZ3" t="s">
        <v>44</v>
      </c>
      <c r="DPA3" t="s">
        <v>2269</v>
      </c>
      <c r="DPB3" t="s">
        <v>1279</v>
      </c>
      <c r="DPC3" t="s">
        <v>2239</v>
      </c>
      <c r="DPD3" t="s">
        <v>2230</v>
      </c>
      <c r="DPE3" t="s">
        <v>125</v>
      </c>
      <c r="DPF3" t="s">
        <v>2240</v>
      </c>
      <c r="DPG3" t="s">
        <v>2275</v>
      </c>
      <c r="DPH3" t="s">
        <v>2276</v>
      </c>
      <c r="DPI3" t="s">
        <v>2218</v>
      </c>
      <c r="DPJ3" t="s">
        <v>44</v>
      </c>
      <c r="DPK3" t="s">
        <v>2269</v>
      </c>
      <c r="DPL3" t="s">
        <v>1279</v>
      </c>
      <c r="DPM3" t="s">
        <v>2239</v>
      </c>
      <c r="DPN3" t="s">
        <v>2230</v>
      </c>
      <c r="DPO3" t="s">
        <v>125</v>
      </c>
      <c r="DPP3" t="s">
        <v>2252</v>
      </c>
      <c r="DPQ3" t="s">
        <v>2277</v>
      </c>
      <c r="DPR3" t="s">
        <v>2278</v>
      </c>
      <c r="DPS3" t="s">
        <v>2218</v>
      </c>
      <c r="DPT3" t="s">
        <v>44</v>
      </c>
      <c r="DPU3" t="s">
        <v>2279</v>
      </c>
      <c r="DPV3" t="s">
        <v>1279</v>
      </c>
      <c r="DPW3" t="s">
        <v>2280</v>
      </c>
      <c r="DPX3" t="s">
        <v>1279</v>
      </c>
      <c r="DPY3" t="s">
        <v>2281</v>
      </c>
      <c r="DPZ3" t="s">
        <v>1279</v>
      </c>
      <c r="DQA3" t="s">
        <v>2282</v>
      </c>
      <c r="DQB3" t="s">
        <v>2230</v>
      </c>
      <c r="DQC3" t="s">
        <v>125</v>
      </c>
      <c r="DQD3" t="s">
        <v>2231</v>
      </c>
      <c r="DQE3" t="s">
        <v>2283</v>
      </c>
      <c r="DQF3" t="s">
        <v>2284</v>
      </c>
      <c r="DQG3" t="s">
        <v>2285</v>
      </c>
      <c r="DQH3" t="s">
        <v>2286</v>
      </c>
      <c r="DQI3" t="s">
        <v>2287</v>
      </c>
      <c r="DQJ3" t="s">
        <v>2288</v>
      </c>
      <c r="DQK3" t="s">
        <v>2218</v>
      </c>
      <c r="DQL3" t="s">
        <v>44</v>
      </c>
      <c r="DQM3" t="s">
        <v>2219</v>
      </c>
      <c r="DQN3" t="s">
        <v>1279</v>
      </c>
      <c r="DQO3" t="s">
        <v>2289</v>
      </c>
      <c r="DQP3" t="s">
        <v>1279</v>
      </c>
      <c r="DQQ3" t="s">
        <v>2290</v>
      </c>
      <c r="DQR3" t="s">
        <v>2230</v>
      </c>
      <c r="DQS3" t="s">
        <v>125</v>
      </c>
      <c r="DQT3" t="s">
        <v>2291</v>
      </c>
      <c r="DQU3" t="s">
        <v>2292</v>
      </c>
      <c r="DQV3" t="s">
        <v>2293</v>
      </c>
      <c r="DQW3" t="s">
        <v>2294</v>
      </c>
      <c r="DQX3" t="s">
        <v>2236</v>
      </c>
      <c r="DQY3" t="s">
        <v>2295</v>
      </c>
      <c r="DQZ3" t="s">
        <v>2218</v>
      </c>
      <c r="DRA3" t="s">
        <v>44</v>
      </c>
      <c r="DRB3" t="s">
        <v>2219</v>
      </c>
      <c r="DRC3" t="s">
        <v>1279</v>
      </c>
      <c r="DRD3" t="s">
        <v>2289</v>
      </c>
      <c r="DRE3" t="s">
        <v>1279</v>
      </c>
      <c r="DRF3" t="s">
        <v>2290</v>
      </c>
      <c r="DRG3" t="s">
        <v>2230</v>
      </c>
      <c r="DRH3" t="s">
        <v>125</v>
      </c>
      <c r="DRI3" t="s">
        <v>2270</v>
      </c>
      <c r="DRJ3" t="s">
        <v>2296</v>
      </c>
      <c r="DRK3" t="s">
        <v>2297</v>
      </c>
      <c r="DRL3" t="s">
        <v>2298</v>
      </c>
      <c r="DRM3" t="s">
        <v>2264</v>
      </c>
      <c r="DRN3" t="s">
        <v>2299</v>
      </c>
      <c r="DRO3" t="s">
        <v>2218</v>
      </c>
      <c r="DRP3" t="s">
        <v>44</v>
      </c>
      <c r="DRQ3" t="s">
        <v>2300</v>
      </c>
      <c r="DRR3" t="s">
        <v>1279</v>
      </c>
      <c r="DRS3" t="s">
        <v>2301</v>
      </c>
      <c r="DRT3" t="s">
        <v>2230</v>
      </c>
      <c r="DRU3" t="s">
        <v>125</v>
      </c>
      <c r="DRV3" t="s">
        <v>2270</v>
      </c>
      <c r="DRW3" t="s">
        <v>2302</v>
      </c>
      <c r="DRX3" t="s">
        <v>2303</v>
      </c>
      <c r="DRY3" t="s">
        <v>2304</v>
      </c>
      <c r="DRZ3" t="s">
        <v>2305</v>
      </c>
      <c r="DSA3" t="s">
        <v>2306</v>
      </c>
      <c r="DSB3" t="s">
        <v>2218</v>
      </c>
      <c r="DSC3" t="s">
        <v>44</v>
      </c>
      <c r="DSD3" t="s">
        <v>2307</v>
      </c>
      <c r="DSE3" t="s">
        <v>2308</v>
      </c>
      <c r="DSF3" t="s">
        <v>1279</v>
      </c>
      <c r="DSG3" t="s">
        <v>2309</v>
      </c>
      <c r="DSH3" t="s">
        <v>1279</v>
      </c>
      <c r="DSI3" t="s">
        <v>2310</v>
      </c>
      <c r="DSJ3" t="s">
        <v>1279</v>
      </c>
      <c r="DSK3" t="s">
        <v>2311</v>
      </c>
      <c r="DSL3" t="s">
        <v>1279</v>
      </c>
      <c r="DSM3" t="s">
        <v>2312</v>
      </c>
      <c r="DSN3" t="s">
        <v>1279</v>
      </c>
      <c r="DSO3" t="s">
        <v>2313</v>
      </c>
      <c r="DSP3" t="s">
        <v>1279</v>
      </c>
      <c r="DSQ3" t="s">
        <v>2314</v>
      </c>
      <c r="DSR3" t="s">
        <v>1279</v>
      </c>
      <c r="DSS3" t="s">
        <v>2315</v>
      </c>
      <c r="DST3" t="s">
        <v>2230</v>
      </c>
      <c r="DSU3" t="s">
        <v>125</v>
      </c>
      <c r="DSV3" t="s">
        <v>2240</v>
      </c>
      <c r="DSW3" t="s">
        <v>2316</v>
      </c>
      <c r="DSX3" t="s">
        <v>2317</v>
      </c>
      <c r="DSY3" t="s">
        <v>2318</v>
      </c>
      <c r="DSZ3" t="s">
        <v>2319</v>
      </c>
      <c r="DTA3" t="s">
        <v>2320</v>
      </c>
      <c r="DTB3" t="s">
        <v>2321</v>
      </c>
      <c r="DTC3" t="s">
        <v>2322</v>
      </c>
      <c r="DTD3" t="s">
        <v>2323</v>
      </c>
      <c r="DTE3" t="s">
        <v>2324</v>
      </c>
      <c r="DTF3" t="s">
        <v>2325</v>
      </c>
      <c r="DTG3" t="s">
        <v>2218</v>
      </c>
      <c r="DTH3" t="s">
        <v>44</v>
      </c>
      <c r="DTI3" t="s">
        <v>2326</v>
      </c>
      <c r="DTJ3" t="s">
        <v>1279</v>
      </c>
      <c r="DTK3" t="s">
        <v>2327</v>
      </c>
      <c r="DTL3" t="s">
        <v>1279</v>
      </c>
      <c r="DTM3" t="s">
        <v>2328</v>
      </c>
      <c r="DTN3" t="s">
        <v>2230</v>
      </c>
      <c r="DTO3" t="s">
        <v>125</v>
      </c>
      <c r="DTP3" t="s">
        <v>2329</v>
      </c>
      <c r="DTQ3" t="s">
        <v>2330</v>
      </c>
      <c r="DTR3" t="s">
        <v>2331</v>
      </c>
      <c r="DTS3" t="s">
        <v>2332</v>
      </c>
      <c r="DTT3" t="s">
        <v>2333</v>
      </c>
      <c r="DTU3" t="s">
        <v>2334</v>
      </c>
      <c r="DTV3" t="s">
        <v>2335</v>
      </c>
      <c r="DTW3" t="s">
        <v>2336</v>
      </c>
      <c r="DTX3" t="s">
        <v>2337</v>
      </c>
      <c r="DTY3" t="s">
        <v>2338</v>
      </c>
      <c r="DTZ3" t="s">
        <v>2218</v>
      </c>
      <c r="DUA3" t="s">
        <v>44</v>
      </c>
      <c r="DUB3" t="s">
        <v>2339</v>
      </c>
      <c r="DUC3" t="s">
        <v>1279</v>
      </c>
      <c r="DUD3" t="s">
        <v>2340</v>
      </c>
      <c r="DUE3" t="s">
        <v>1279</v>
      </c>
      <c r="DUF3" t="s">
        <v>2341</v>
      </c>
      <c r="DUG3" t="s">
        <v>1279</v>
      </c>
      <c r="DUH3" t="s">
        <v>2342</v>
      </c>
      <c r="DUI3" t="s">
        <v>1279</v>
      </c>
      <c r="DUJ3" t="s">
        <v>2343</v>
      </c>
      <c r="DUK3" t="s">
        <v>2344</v>
      </c>
      <c r="DUL3" t="s">
        <v>125</v>
      </c>
      <c r="DUM3" t="s">
        <v>2252</v>
      </c>
      <c r="DUN3" t="e">
        <f>+i+s+n+""</f>
        <v>#NAME?</v>
      </c>
      <c r="DUO3" t="s">
        <v>2345</v>
      </c>
      <c r="DUP3" t="e">
        <f>-""+a+s+""-""+n+""</f>
        <v>#VALUE!</v>
      </c>
      <c r="DUQ3" t="s">
        <v>2346</v>
      </c>
      <c r="DUR3" t="s">
        <v>2347</v>
      </c>
      <c r="DUS3" t="s">
        <v>2218</v>
      </c>
      <c r="DUT3" t="s">
        <v>44</v>
      </c>
      <c r="DUU3" t="s">
        <v>2339</v>
      </c>
      <c r="DUV3" t="s">
        <v>1279</v>
      </c>
      <c r="DUW3" t="s">
        <v>2340</v>
      </c>
      <c r="DUX3" t="s">
        <v>1279</v>
      </c>
      <c r="DUY3" t="s">
        <v>2341</v>
      </c>
      <c r="DUZ3" t="s">
        <v>1279</v>
      </c>
      <c r="DVA3" t="s">
        <v>2342</v>
      </c>
      <c r="DVB3" t="s">
        <v>1279</v>
      </c>
      <c r="DVC3" t="s">
        <v>2343</v>
      </c>
      <c r="DVD3" t="s">
        <v>2344</v>
      </c>
      <c r="DVE3" t="s">
        <v>125</v>
      </c>
      <c r="DVF3" t="s">
        <v>2231</v>
      </c>
      <c r="DVG3" t="e">
        <f>-""+i+s+""-""+n+""</f>
        <v>#VALUE!</v>
      </c>
      <c r="DVH3" t="s">
        <v>2348</v>
      </c>
      <c r="DVI3" t="e">
        <f>+a+s+n+""</f>
        <v>#NAME?</v>
      </c>
      <c r="DVJ3" t="s">
        <v>2349</v>
      </c>
      <c r="DVK3" t="s">
        <v>2350</v>
      </c>
      <c r="DVL3" t="s">
        <v>2218</v>
      </c>
      <c r="DVM3" t="s">
        <v>44</v>
      </c>
      <c r="DVN3" t="s">
        <v>2351</v>
      </c>
      <c r="DVO3" t="s">
        <v>1279</v>
      </c>
      <c r="DVP3" t="s">
        <v>2352</v>
      </c>
      <c r="DVQ3" t="s">
        <v>1279</v>
      </c>
      <c r="DVR3" t="s">
        <v>2353</v>
      </c>
      <c r="DVS3" t="s">
        <v>2354</v>
      </c>
      <c r="DVT3" t="s">
        <v>125</v>
      </c>
      <c r="DVU3" t="s">
        <v>2252</v>
      </c>
      <c r="DVV3" t="e">
        <f>-""+n+a+""-""+n+""</f>
        <v>#VALUE!</v>
      </c>
      <c r="DVW3" t="e">
        <f>+n+a+n+""</f>
        <v>#NAME?</v>
      </c>
      <c r="DVX3" t="e">
        <f>+n+a+n+""</f>
        <v>#NAME?</v>
      </c>
      <c r="DVY3" t="e">
        <f>-""+n+a+""-""+n+""</f>
        <v>#VALUE!</v>
      </c>
      <c r="DVZ3" t="s">
        <v>2236</v>
      </c>
      <c r="DWA3" t="s">
        <v>2355</v>
      </c>
      <c r="DWB3" t="s">
        <v>2218</v>
      </c>
      <c r="DWC3" t="s">
        <v>44</v>
      </c>
      <c r="DWD3" t="s">
        <v>2356</v>
      </c>
      <c r="DWE3" t="s">
        <v>1279</v>
      </c>
      <c r="DWF3" t="s">
        <v>2357</v>
      </c>
      <c r="DWG3" t="s">
        <v>1279</v>
      </c>
      <c r="DWH3" t="s">
        <v>2353</v>
      </c>
      <c r="DWI3" t="s">
        <v>2354</v>
      </c>
      <c r="DWJ3" t="s">
        <v>125</v>
      </c>
      <c r="DWK3" t="s">
        <v>2252</v>
      </c>
      <c r="DWL3" t="s">
        <v>2358</v>
      </c>
      <c r="DWM3" t="e">
        <f>+n+a+n+""</f>
        <v>#NAME?</v>
      </c>
      <c r="DWN3" t="s">
        <v>2358</v>
      </c>
      <c r="DWO3" t="e">
        <f>-""+n+a+""-""+n+""</f>
        <v>#VALUE!</v>
      </c>
      <c r="DWP3" t="s">
        <v>2264</v>
      </c>
      <c r="DWQ3" t="s">
        <v>2359</v>
      </c>
      <c r="DWR3" t="s">
        <v>2218</v>
      </c>
      <c r="DWS3" t="s">
        <v>44</v>
      </c>
      <c r="DWT3" t="s">
        <v>2360</v>
      </c>
      <c r="DWU3" t="s">
        <v>1279</v>
      </c>
      <c r="DWV3" t="s">
        <v>2361</v>
      </c>
      <c r="DWW3" t="s">
        <v>2230</v>
      </c>
      <c r="DWX3" t="s">
        <v>125</v>
      </c>
      <c r="DWY3" t="s">
        <v>2033</v>
      </c>
      <c r="DWZ3" t="s">
        <v>2362</v>
      </c>
      <c r="DXA3" t="s">
        <v>1632</v>
      </c>
      <c r="DXB3" t="s">
        <v>2363</v>
      </c>
      <c r="DXC3" t="s">
        <v>2264</v>
      </c>
      <c r="DXD3" t="s">
        <v>2364</v>
      </c>
      <c r="DXE3" t="s">
        <v>2218</v>
      </c>
      <c r="DXF3" t="s">
        <v>44</v>
      </c>
      <c r="DXG3" t="s">
        <v>2356</v>
      </c>
      <c r="DXH3" t="s">
        <v>1279</v>
      </c>
      <c r="DXI3" t="s">
        <v>2365</v>
      </c>
      <c r="DXJ3" t="s">
        <v>2230</v>
      </c>
      <c r="DXK3" t="s">
        <v>125</v>
      </c>
      <c r="DXL3" t="s">
        <v>2033</v>
      </c>
      <c r="DXM3" t="s">
        <v>2362</v>
      </c>
      <c r="DXN3" t="s">
        <v>1632</v>
      </c>
      <c r="DXO3" t="s">
        <v>2363</v>
      </c>
      <c r="DXP3" t="s">
        <v>2264</v>
      </c>
      <c r="DXQ3" t="s">
        <v>2366</v>
      </c>
      <c r="DXR3" t="s">
        <v>2218</v>
      </c>
      <c r="DXS3" t="s">
        <v>44</v>
      </c>
      <c r="DXT3" t="s">
        <v>2219</v>
      </c>
      <c r="DXU3" t="s">
        <v>2230</v>
      </c>
      <c r="DXV3" t="s">
        <v>125</v>
      </c>
      <c r="DXW3" t="s">
        <v>2231</v>
      </c>
      <c r="DXX3" t="s">
        <v>2367</v>
      </c>
      <c r="DXY3" t="s">
        <v>2368</v>
      </c>
      <c r="DXZ3" t="s">
        <v>2369</v>
      </c>
      <c r="DYA3" t="s">
        <v>2370</v>
      </c>
      <c r="DYB3" t="s">
        <v>2218</v>
      </c>
      <c r="DYC3" t="s">
        <v>44</v>
      </c>
      <c r="DYD3" t="s">
        <v>2219</v>
      </c>
      <c r="DYE3" t="s">
        <v>2230</v>
      </c>
      <c r="DYF3" t="s">
        <v>125</v>
      </c>
      <c r="DYG3" t="s">
        <v>2231</v>
      </c>
      <c r="DYH3" t="s">
        <v>2371</v>
      </c>
      <c r="DYI3" t="s">
        <v>2372</v>
      </c>
      <c r="DYJ3" t="s">
        <v>2369</v>
      </c>
      <c r="DYK3" t="s">
        <v>2373</v>
      </c>
      <c r="DYL3" t="s">
        <v>2218</v>
      </c>
      <c r="DYM3" t="s">
        <v>44</v>
      </c>
      <c r="DYN3" t="s">
        <v>2219</v>
      </c>
      <c r="DYO3" t="s">
        <v>2230</v>
      </c>
      <c r="DYP3" t="s">
        <v>125</v>
      </c>
      <c r="DYQ3" t="s">
        <v>2033</v>
      </c>
      <c r="DYR3" t="s">
        <v>2374</v>
      </c>
      <c r="DYS3" t="s">
        <v>2375</v>
      </c>
      <c r="DYT3" t="s">
        <v>2221</v>
      </c>
      <c r="DYU3" t="s">
        <v>2222</v>
      </c>
      <c r="DYV3" t="s">
        <v>2223</v>
      </c>
      <c r="DYW3" t="s">
        <v>2224</v>
      </c>
      <c r="DYX3" t="s">
        <v>2225</v>
      </c>
      <c r="DYY3" t="s">
        <v>2226</v>
      </c>
      <c r="DYZ3" t="s">
        <v>2376</v>
      </c>
      <c r="DZA3" t="s">
        <v>2377</v>
      </c>
      <c r="DZB3" t="s">
        <v>2369</v>
      </c>
      <c r="DZC3" t="s">
        <v>2378</v>
      </c>
      <c r="DZD3" t="s">
        <v>2218</v>
      </c>
      <c r="DZE3" t="s">
        <v>44</v>
      </c>
      <c r="DZF3" t="s">
        <v>2219</v>
      </c>
      <c r="DZG3" t="s">
        <v>1279</v>
      </c>
      <c r="DZH3" t="s">
        <v>2379</v>
      </c>
      <c r="DZI3" t="s">
        <v>2230</v>
      </c>
      <c r="DZJ3" t="s">
        <v>125</v>
      </c>
      <c r="DZK3" t="s">
        <v>2240</v>
      </c>
      <c r="DZL3" t="s">
        <v>2380</v>
      </c>
      <c r="DZM3" t="s">
        <v>2381</v>
      </c>
      <c r="DZN3" t="s">
        <v>2382</v>
      </c>
      <c r="DZO3" t="s">
        <v>2383</v>
      </c>
      <c r="DZP3" t="s">
        <v>2221</v>
      </c>
      <c r="DZQ3" t="s">
        <v>2222</v>
      </c>
      <c r="DZR3" t="s">
        <v>2223</v>
      </c>
      <c r="DZS3" t="s">
        <v>2224</v>
      </c>
      <c r="DZT3" t="s">
        <v>2225</v>
      </c>
      <c r="DZU3" t="s">
        <v>2226</v>
      </c>
      <c r="DZV3" t="s">
        <v>2376</v>
      </c>
      <c r="DZW3" t="s">
        <v>2377</v>
      </c>
      <c r="DZX3" t="s">
        <v>2369</v>
      </c>
      <c r="DZY3" t="s">
        <v>2384</v>
      </c>
      <c r="DZZ3" t="s">
        <v>2218</v>
      </c>
      <c r="EAA3" t="s">
        <v>44</v>
      </c>
      <c r="EAB3" t="s">
        <v>2219</v>
      </c>
      <c r="EAC3" t="s">
        <v>2230</v>
      </c>
      <c r="EAD3" t="s">
        <v>125</v>
      </c>
      <c r="EAE3" t="s">
        <v>2033</v>
      </c>
      <c r="EAF3" t="s">
        <v>2374</v>
      </c>
      <c r="EAG3" t="s">
        <v>2375</v>
      </c>
      <c r="EAH3" t="s">
        <v>2385</v>
      </c>
      <c r="EAI3" t="s">
        <v>2377</v>
      </c>
      <c r="EAJ3" t="s">
        <v>2369</v>
      </c>
      <c r="EAK3" t="s">
        <v>2386</v>
      </c>
      <c r="EAL3" t="s">
        <v>2218</v>
      </c>
      <c r="EAM3" t="s">
        <v>44</v>
      </c>
      <c r="EAN3" t="s">
        <v>2219</v>
      </c>
      <c r="EAO3" t="s">
        <v>2230</v>
      </c>
      <c r="EAP3" t="s">
        <v>125</v>
      </c>
      <c r="EAQ3" t="s">
        <v>2231</v>
      </c>
      <c r="EAR3" t="s">
        <v>2235</v>
      </c>
      <c r="EAS3" t="s">
        <v>2387</v>
      </c>
      <c r="EAT3" t="s">
        <v>2388</v>
      </c>
      <c r="EAU3" t="s">
        <v>2389</v>
      </c>
      <c r="EAV3" t="s">
        <v>2385</v>
      </c>
      <c r="EAW3" t="s">
        <v>2377</v>
      </c>
      <c r="EAX3" t="s">
        <v>2369</v>
      </c>
      <c r="EAY3" t="s">
        <v>2390</v>
      </c>
      <c r="EAZ3" t="s">
        <v>2218</v>
      </c>
      <c r="EBA3" t="s">
        <v>44</v>
      </c>
      <c r="EBB3" t="s">
        <v>2234</v>
      </c>
      <c r="EBC3" t="s">
        <v>2230</v>
      </c>
      <c r="EBD3" t="s">
        <v>125</v>
      </c>
      <c r="EBE3" t="s">
        <v>2231</v>
      </c>
      <c r="EBF3" t="s">
        <v>1632</v>
      </c>
      <c r="EBG3" t="s">
        <v>2235</v>
      </c>
      <c r="EBH3" t="s">
        <v>1632</v>
      </c>
      <c r="EBI3" t="s">
        <v>2391</v>
      </c>
      <c r="EBJ3" t="s">
        <v>2392</v>
      </c>
      <c r="EBK3" t="s">
        <v>2393</v>
      </c>
      <c r="EBL3" t="s">
        <v>2377</v>
      </c>
      <c r="EBM3" t="s">
        <v>2369</v>
      </c>
      <c r="EBN3" t="s">
        <v>2394</v>
      </c>
      <c r="EBO3" t="s">
        <v>2218</v>
      </c>
      <c r="EBP3" t="s">
        <v>44</v>
      </c>
      <c r="EBQ3" t="s">
        <v>2234</v>
      </c>
      <c r="EBR3" t="s">
        <v>1279</v>
      </c>
      <c r="EBS3" t="s">
        <v>2395</v>
      </c>
      <c r="EBT3" t="s">
        <v>2230</v>
      </c>
      <c r="EBU3" t="s">
        <v>125</v>
      </c>
      <c r="EBV3" t="s">
        <v>2231</v>
      </c>
      <c r="EBW3" t="s">
        <v>1632</v>
      </c>
      <c r="EBX3" t="s">
        <v>2235</v>
      </c>
      <c r="EBY3" t="s">
        <v>1632</v>
      </c>
      <c r="EBZ3" t="s">
        <v>2396</v>
      </c>
      <c r="ECA3" t="s">
        <v>2397</v>
      </c>
      <c r="ECB3" t="s">
        <v>2398</v>
      </c>
      <c r="ECC3" t="s">
        <v>2399</v>
      </c>
      <c r="ECD3" t="s">
        <v>2400</v>
      </c>
      <c r="ECE3" t="s">
        <v>2377</v>
      </c>
      <c r="ECF3" t="s">
        <v>2369</v>
      </c>
      <c r="ECG3" t="s">
        <v>2401</v>
      </c>
      <c r="ECH3" t="s">
        <v>2218</v>
      </c>
      <c r="ECI3" t="s">
        <v>44</v>
      </c>
      <c r="ECJ3" t="s">
        <v>2356</v>
      </c>
      <c r="ECK3" t="s">
        <v>2230</v>
      </c>
      <c r="ECL3" t="s">
        <v>125</v>
      </c>
      <c r="ECM3" t="s">
        <v>2033</v>
      </c>
      <c r="ECN3" t="s">
        <v>2374</v>
      </c>
      <c r="ECO3" t="s">
        <v>2402</v>
      </c>
      <c r="ECP3" t="s">
        <v>2377</v>
      </c>
      <c r="ECQ3" t="s">
        <v>2403</v>
      </c>
      <c r="ECR3" t="s">
        <v>2404</v>
      </c>
      <c r="ECS3" t="s">
        <v>2405</v>
      </c>
      <c r="ECT3" t="s">
        <v>2218</v>
      </c>
      <c r="ECU3" t="s">
        <v>44</v>
      </c>
      <c r="ECV3" t="s">
        <v>2219</v>
      </c>
      <c r="ECW3" t="s">
        <v>2230</v>
      </c>
      <c r="ECX3" t="s">
        <v>125</v>
      </c>
      <c r="ECY3" t="s">
        <v>2231</v>
      </c>
      <c r="ECZ3" t="s">
        <v>2235</v>
      </c>
      <c r="EDA3" t="s">
        <v>2387</v>
      </c>
      <c r="EDB3" t="s">
        <v>2388</v>
      </c>
      <c r="EDC3" t="s">
        <v>2406</v>
      </c>
      <c r="EDD3" t="s">
        <v>2377</v>
      </c>
      <c r="EDE3" t="s">
        <v>2403</v>
      </c>
      <c r="EDF3" t="s">
        <v>2404</v>
      </c>
      <c r="EDG3" t="s">
        <v>2407</v>
      </c>
      <c r="EDH3" t="s">
        <v>2218</v>
      </c>
      <c r="EDI3" t="s">
        <v>44</v>
      </c>
      <c r="EDJ3" t="s">
        <v>2408</v>
      </c>
      <c r="EDK3" t="s">
        <v>1279</v>
      </c>
      <c r="EDL3" t="s">
        <v>2409</v>
      </c>
      <c r="EDM3" t="s">
        <v>2230</v>
      </c>
      <c r="EDN3" t="s">
        <v>125</v>
      </c>
      <c r="EDO3" t="s">
        <v>2033</v>
      </c>
      <c r="EDP3" t="s">
        <v>2374</v>
      </c>
      <c r="EDQ3" t="s">
        <v>2410</v>
      </c>
      <c r="EDR3" t="s">
        <v>2380</v>
      </c>
      <c r="EDS3" t="s">
        <v>2381</v>
      </c>
      <c r="EDT3" t="s">
        <v>2382</v>
      </c>
      <c r="EDU3" t="s">
        <v>2411</v>
      </c>
      <c r="EDV3" t="s">
        <v>2377</v>
      </c>
      <c r="EDW3" t="s">
        <v>2403</v>
      </c>
      <c r="EDX3" t="s">
        <v>2404</v>
      </c>
      <c r="EDY3" t="s">
        <v>2412</v>
      </c>
      <c r="EDZ3" t="s">
        <v>2218</v>
      </c>
      <c r="EEA3" t="s">
        <v>44</v>
      </c>
      <c r="EEB3" t="s">
        <v>2413</v>
      </c>
      <c r="EEC3" t="s">
        <v>1279</v>
      </c>
      <c r="EED3" t="s">
        <v>2414</v>
      </c>
      <c r="EEE3" t="s">
        <v>2230</v>
      </c>
      <c r="EEF3" t="s">
        <v>125</v>
      </c>
      <c r="EEG3" t="s">
        <v>2231</v>
      </c>
      <c r="EEH3" t="s">
        <v>2415</v>
      </c>
      <c r="EEI3" t="s">
        <v>2416</v>
      </c>
      <c r="EEJ3" t="s">
        <v>2417</v>
      </c>
      <c r="EEK3" t="s">
        <v>2418</v>
      </c>
      <c r="EEL3" t="s">
        <v>2377</v>
      </c>
      <c r="EEM3" t="s">
        <v>2404</v>
      </c>
      <c r="EEN3" t="s">
        <v>2419</v>
      </c>
      <c r="EEO3" t="s">
        <v>2218</v>
      </c>
      <c r="EEP3" t="s">
        <v>44</v>
      </c>
      <c r="EEQ3" t="s">
        <v>2408</v>
      </c>
      <c r="EER3" t="s">
        <v>1279</v>
      </c>
      <c r="EES3" t="s">
        <v>2420</v>
      </c>
      <c r="EET3" t="s">
        <v>1279</v>
      </c>
      <c r="EEU3" t="s">
        <v>2421</v>
      </c>
      <c r="EEV3" t="s">
        <v>2230</v>
      </c>
      <c r="EEW3" t="s">
        <v>125</v>
      </c>
      <c r="EEX3" t="s">
        <v>2252</v>
      </c>
      <c r="EEY3" t="s">
        <v>2422</v>
      </c>
      <c r="EEZ3" t="s">
        <v>2423</v>
      </c>
      <c r="EFA3" t="s">
        <v>2422</v>
      </c>
      <c r="EFB3" t="s">
        <v>2424</v>
      </c>
      <c r="EFC3" t="s">
        <v>2425</v>
      </c>
      <c r="EFD3" t="s">
        <v>2426</v>
      </c>
      <c r="EFE3" t="s">
        <v>2377</v>
      </c>
      <c r="EFF3" t="s">
        <v>2403</v>
      </c>
      <c r="EFG3" t="s">
        <v>2404</v>
      </c>
      <c r="EFH3" t="s">
        <v>2427</v>
      </c>
      <c r="EFI3" t="s">
        <v>2218</v>
      </c>
      <c r="EFJ3" t="s">
        <v>44</v>
      </c>
      <c r="EFK3" t="s">
        <v>2408</v>
      </c>
      <c r="EFL3" t="s">
        <v>1279</v>
      </c>
      <c r="EFM3" t="s">
        <v>2420</v>
      </c>
      <c r="EFN3" t="s">
        <v>1279</v>
      </c>
      <c r="EFO3" t="s">
        <v>2421</v>
      </c>
      <c r="EFP3" t="s">
        <v>2230</v>
      </c>
      <c r="EFQ3" t="s">
        <v>125</v>
      </c>
      <c r="EFR3" t="s">
        <v>2252</v>
      </c>
      <c r="EFS3" t="s">
        <v>2428</v>
      </c>
      <c r="EFT3" t="s">
        <v>2423</v>
      </c>
      <c r="EFU3" t="s">
        <v>2428</v>
      </c>
      <c r="EFV3" t="s">
        <v>2424</v>
      </c>
      <c r="EFW3" t="s">
        <v>2429</v>
      </c>
      <c r="EFX3" t="s">
        <v>2426</v>
      </c>
      <c r="EFY3" t="s">
        <v>2377</v>
      </c>
      <c r="EFZ3" t="s">
        <v>2403</v>
      </c>
      <c r="EGA3" t="s">
        <v>2404</v>
      </c>
      <c r="EGB3" t="s">
        <v>2430</v>
      </c>
      <c r="EGC3" t="s">
        <v>2218</v>
      </c>
      <c r="EGD3" t="s">
        <v>44</v>
      </c>
      <c r="EGE3" t="s">
        <v>2408</v>
      </c>
      <c r="EGF3" t="s">
        <v>1279</v>
      </c>
      <c r="EGG3" t="s">
        <v>2420</v>
      </c>
      <c r="EGH3" t="s">
        <v>1279</v>
      </c>
      <c r="EGI3" t="s">
        <v>2421</v>
      </c>
      <c r="EGJ3" t="s">
        <v>2230</v>
      </c>
      <c r="EGK3" t="s">
        <v>125</v>
      </c>
      <c r="EGL3" t="s">
        <v>2291</v>
      </c>
      <c r="EGM3" t="s">
        <v>2431</v>
      </c>
      <c r="EGN3" t="s">
        <v>2432</v>
      </c>
      <c r="EGO3" t="s">
        <v>2433</v>
      </c>
      <c r="EGP3" t="s">
        <v>2434</v>
      </c>
      <c r="EGQ3" t="s">
        <v>1632</v>
      </c>
      <c r="EGR3" t="s">
        <v>2426</v>
      </c>
      <c r="EGS3" t="s">
        <v>2377</v>
      </c>
      <c r="EGT3" t="s">
        <v>2403</v>
      </c>
      <c r="EGU3" t="s">
        <v>2404</v>
      </c>
      <c r="EGV3" t="s">
        <v>2435</v>
      </c>
      <c r="EGW3" t="s">
        <v>2218</v>
      </c>
      <c r="EGX3" t="s">
        <v>44</v>
      </c>
      <c r="EGY3" t="s">
        <v>2408</v>
      </c>
      <c r="EGZ3" t="s">
        <v>1279</v>
      </c>
      <c r="EHA3" t="s">
        <v>2420</v>
      </c>
      <c r="EHB3" t="s">
        <v>1279</v>
      </c>
      <c r="EHC3" t="s">
        <v>2421</v>
      </c>
      <c r="EHD3" t="s">
        <v>2230</v>
      </c>
      <c r="EHE3" t="s">
        <v>125</v>
      </c>
      <c r="EHF3" t="s">
        <v>2329</v>
      </c>
      <c r="EHG3" t="s">
        <v>2431</v>
      </c>
      <c r="EHH3" t="s">
        <v>2436</v>
      </c>
      <c r="EHI3" t="s">
        <v>2433</v>
      </c>
      <c r="EHJ3" t="s">
        <v>2437</v>
      </c>
      <c r="EHK3" t="s">
        <v>1632</v>
      </c>
      <c r="EHL3" t="s">
        <v>2426</v>
      </c>
      <c r="EHM3" t="s">
        <v>2377</v>
      </c>
      <c r="EHN3" t="s">
        <v>2403</v>
      </c>
      <c r="EHO3" t="s">
        <v>2404</v>
      </c>
      <c r="EHP3" t="s">
        <v>2438</v>
      </c>
      <c r="EHQ3" t="s">
        <v>2218</v>
      </c>
      <c r="EHR3" t="s">
        <v>44</v>
      </c>
      <c r="EHS3" t="s">
        <v>2356</v>
      </c>
      <c r="EHT3" t="s">
        <v>2230</v>
      </c>
      <c r="EHU3" t="s">
        <v>125</v>
      </c>
      <c r="EHV3" t="s">
        <v>2231</v>
      </c>
      <c r="EHW3" t="s">
        <v>2402</v>
      </c>
      <c r="EHX3" t="s">
        <v>2377</v>
      </c>
      <c r="EHY3" t="s">
        <v>2403</v>
      </c>
      <c r="EHZ3" t="s">
        <v>2404</v>
      </c>
      <c r="EIA3" t="s">
        <v>2439</v>
      </c>
      <c r="EIB3" t="s">
        <v>2218</v>
      </c>
      <c r="EIC3" t="s">
        <v>44</v>
      </c>
      <c r="EID3" t="s">
        <v>2356</v>
      </c>
      <c r="EIE3" t="s">
        <v>2230</v>
      </c>
      <c r="EIF3" t="s">
        <v>125</v>
      </c>
      <c r="EIG3" t="s">
        <v>2033</v>
      </c>
      <c r="EIH3" t="s">
        <v>2440</v>
      </c>
      <c r="EII3" t="s">
        <v>2377</v>
      </c>
      <c r="EIJ3" t="s">
        <v>2403</v>
      </c>
      <c r="EIK3" t="s">
        <v>2404</v>
      </c>
      <c r="EIL3" t="s">
        <v>2441</v>
      </c>
      <c r="EIM3" t="s">
        <v>2218</v>
      </c>
      <c r="EIN3" t="s">
        <v>44</v>
      </c>
      <c r="EIO3" t="s">
        <v>2219</v>
      </c>
      <c r="EIP3" t="s">
        <v>2230</v>
      </c>
      <c r="EIQ3" t="s">
        <v>125</v>
      </c>
      <c r="EIR3" t="s">
        <v>2231</v>
      </c>
      <c r="EIS3" t="s">
        <v>2388</v>
      </c>
      <c r="EIT3" t="s">
        <v>2406</v>
      </c>
      <c r="EIU3" t="s">
        <v>2377</v>
      </c>
      <c r="EIV3" t="s">
        <v>2403</v>
      </c>
      <c r="EIW3" t="s">
        <v>2404</v>
      </c>
      <c r="EIX3" t="s">
        <v>2442</v>
      </c>
      <c r="EIY3" t="s">
        <v>2218</v>
      </c>
      <c r="EIZ3" t="s">
        <v>44</v>
      </c>
      <c r="EJA3" t="s">
        <v>2219</v>
      </c>
      <c r="EJB3" t="s">
        <v>2230</v>
      </c>
      <c r="EJC3" t="s">
        <v>125</v>
      </c>
      <c r="EJD3" t="s">
        <v>2231</v>
      </c>
      <c r="EJE3" t="s">
        <v>2235</v>
      </c>
      <c r="EJF3" t="s">
        <v>2443</v>
      </c>
      <c r="EJG3" t="s">
        <v>2377</v>
      </c>
      <c r="EJH3" t="s">
        <v>2403</v>
      </c>
      <c r="EJI3" t="s">
        <v>2404</v>
      </c>
      <c r="EJJ3" t="s">
        <v>2444</v>
      </c>
      <c r="EJK3" t="s">
        <v>2218</v>
      </c>
      <c r="EJL3" t="s">
        <v>44</v>
      </c>
      <c r="EJM3" t="s">
        <v>2219</v>
      </c>
      <c r="EJN3" t="s">
        <v>2230</v>
      </c>
      <c r="EJO3" t="s">
        <v>125</v>
      </c>
      <c r="EJP3" t="s">
        <v>2033</v>
      </c>
      <c r="EJQ3" t="s">
        <v>2445</v>
      </c>
      <c r="EJR3" t="s">
        <v>2446</v>
      </c>
      <c r="EJS3" t="s">
        <v>2447</v>
      </c>
      <c r="EJT3" t="s">
        <v>2448</v>
      </c>
      <c r="EJU3" t="s">
        <v>2369</v>
      </c>
      <c r="EJV3" t="s">
        <v>2449</v>
      </c>
      <c r="EJW3" t="s">
        <v>2218</v>
      </c>
      <c r="EJX3" t="s">
        <v>44</v>
      </c>
      <c r="EJY3" t="s">
        <v>2219</v>
      </c>
      <c r="EJZ3" t="s">
        <v>2230</v>
      </c>
      <c r="EKA3" t="s">
        <v>125</v>
      </c>
      <c r="EKB3" t="s">
        <v>2033</v>
      </c>
      <c r="EKC3" t="s">
        <v>2445</v>
      </c>
      <c r="EKD3" t="s">
        <v>2450</v>
      </c>
      <c r="EKE3" t="s">
        <v>2447</v>
      </c>
      <c r="EKF3" t="s">
        <v>2369</v>
      </c>
      <c r="EKG3" t="s">
        <v>2451</v>
      </c>
      <c r="EKH3" t="s">
        <v>2218</v>
      </c>
      <c r="EKI3" t="s">
        <v>44</v>
      </c>
      <c r="EKJ3" t="s">
        <v>2452</v>
      </c>
      <c r="EKK3" t="s">
        <v>1279</v>
      </c>
      <c r="EKL3" t="s">
        <v>2414</v>
      </c>
      <c r="EKM3" t="s">
        <v>2230</v>
      </c>
      <c r="EKN3" t="s">
        <v>125</v>
      </c>
      <c r="EKO3" t="s">
        <v>2033</v>
      </c>
      <c r="EKP3" t="s">
        <v>2453</v>
      </c>
      <c r="EKQ3" t="s">
        <v>2454</v>
      </c>
      <c r="EKR3" t="s">
        <v>2369</v>
      </c>
      <c r="EKS3" t="s">
        <v>2455</v>
      </c>
      <c r="EKT3" t="s">
        <v>2218</v>
      </c>
      <c r="EKU3" t="s">
        <v>44</v>
      </c>
      <c r="EKV3" t="s">
        <v>2452</v>
      </c>
      <c r="EKW3" t="s">
        <v>1279</v>
      </c>
      <c r="EKX3" t="s">
        <v>2414</v>
      </c>
      <c r="EKY3" t="s">
        <v>2230</v>
      </c>
      <c r="EKZ3" t="s">
        <v>125</v>
      </c>
      <c r="ELA3" t="s">
        <v>2033</v>
      </c>
      <c r="ELB3" t="s">
        <v>2445</v>
      </c>
      <c r="ELC3" t="s">
        <v>2454</v>
      </c>
      <c r="ELD3" t="s">
        <v>2369</v>
      </c>
      <c r="ELE3" t="s">
        <v>2456</v>
      </c>
      <c r="ELF3" t="s">
        <v>2218</v>
      </c>
      <c r="ELG3" t="s">
        <v>44</v>
      </c>
      <c r="ELH3" t="s">
        <v>2219</v>
      </c>
      <c r="ELI3" t="s">
        <v>2230</v>
      </c>
      <c r="ELJ3" t="s">
        <v>125</v>
      </c>
      <c r="ELK3" t="s">
        <v>2252</v>
      </c>
      <c r="ELL3" t="s">
        <v>2457</v>
      </c>
      <c r="ELM3" t="s">
        <v>2445</v>
      </c>
      <c r="ELN3" t="s">
        <v>2446</v>
      </c>
      <c r="ELO3" t="s">
        <v>2447</v>
      </c>
      <c r="ELP3" t="s">
        <v>2448</v>
      </c>
      <c r="ELQ3" t="s">
        <v>2377</v>
      </c>
      <c r="ELR3" t="s">
        <v>2369</v>
      </c>
      <c r="ELS3" t="s">
        <v>2458</v>
      </c>
      <c r="ELT3" t="s">
        <v>2218</v>
      </c>
      <c r="ELU3" t="s">
        <v>44</v>
      </c>
      <c r="ELV3" t="s">
        <v>2219</v>
      </c>
      <c r="ELW3" t="s">
        <v>2230</v>
      </c>
      <c r="ELX3" t="s">
        <v>125</v>
      </c>
      <c r="ELY3" t="s">
        <v>2252</v>
      </c>
      <c r="ELZ3" t="s">
        <v>2457</v>
      </c>
      <c r="EMA3" t="s">
        <v>2445</v>
      </c>
      <c r="EMB3" t="s">
        <v>2450</v>
      </c>
      <c r="EMC3" t="s">
        <v>2447</v>
      </c>
      <c r="EMD3" t="s">
        <v>2377</v>
      </c>
      <c r="EME3" t="s">
        <v>2369</v>
      </c>
      <c r="EMF3" t="s">
        <v>2459</v>
      </c>
      <c r="EMG3" t="s">
        <v>2218</v>
      </c>
      <c r="EMH3" t="s">
        <v>44</v>
      </c>
      <c r="EMI3" t="s">
        <v>2452</v>
      </c>
      <c r="EMJ3" t="s">
        <v>1279</v>
      </c>
      <c r="EMK3" t="s">
        <v>2414</v>
      </c>
      <c r="EML3" t="s">
        <v>2230</v>
      </c>
      <c r="EMM3" t="s">
        <v>125</v>
      </c>
      <c r="EMN3" t="s">
        <v>2033</v>
      </c>
      <c r="EMO3" t="s">
        <v>2460</v>
      </c>
      <c r="EMP3" t="s">
        <v>2453</v>
      </c>
      <c r="EMQ3" t="s">
        <v>2454</v>
      </c>
      <c r="EMR3" t="s">
        <v>2377</v>
      </c>
      <c r="EMS3" t="s">
        <v>2369</v>
      </c>
      <c r="EMT3" t="s">
        <v>2461</v>
      </c>
      <c r="EMU3" t="s">
        <v>2218</v>
      </c>
      <c r="EMV3" t="s">
        <v>44</v>
      </c>
      <c r="EMW3" t="s">
        <v>2452</v>
      </c>
      <c r="EMX3" t="s">
        <v>1279</v>
      </c>
      <c r="EMY3" t="s">
        <v>2414</v>
      </c>
      <c r="EMZ3" t="s">
        <v>2230</v>
      </c>
      <c r="ENA3" t="s">
        <v>125</v>
      </c>
      <c r="ENB3" t="s">
        <v>2033</v>
      </c>
      <c r="ENC3" t="s">
        <v>2460</v>
      </c>
      <c r="END3" t="s">
        <v>2445</v>
      </c>
      <c r="ENE3" t="s">
        <v>2454</v>
      </c>
      <c r="ENF3" t="s">
        <v>2377</v>
      </c>
      <c r="ENG3" t="s">
        <v>2369</v>
      </c>
      <c r="ENH3" t="s">
        <v>2462</v>
      </c>
      <c r="ENI3" t="s">
        <v>2218</v>
      </c>
      <c r="ENJ3" t="s">
        <v>44</v>
      </c>
      <c r="ENK3" t="s">
        <v>2463</v>
      </c>
      <c r="ENL3" t="s">
        <v>2464</v>
      </c>
      <c r="ENM3" t="s">
        <v>2465</v>
      </c>
      <c r="ENN3" t="s">
        <v>125</v>
      </c>
      <c r="ENO3" t="s">
        <v>2033</v>
      </c>
      <c r="ENP3" t="s">
        <v>2466</v>
      </c>
      <c r="ENQ3" t="s">
        <v>2467</v>
      </c>
      <c r="ENR3" t="s">
        <v>2468</v>
      </c>
      <c r="ENS3" t="s">
        <v>2469</v>
      </c>
      <c r="ENT3" t="s">
        <v>2369</v>
      </c>
      <c r="ENU3" t="s">
        <v>2470</v>
      </c>
      <c r="ENV3" t="s">
        <v>2218</v>
      </c>
      <c r="ENW3" t="s">
        <v>44</v>
      </c>
      <c r="ENX3" t="s">
        <v>2471</v>
      </c>
      <c r="ENY3" t="s">
        <v>2464</v>
      </c>
      <c r="ENZ3" t="s">
        <v>2465</v>
      </c>
      <c r="EOA3" t="s">
        <v>125</v>
      </c>
      <c r="EOB3" t="s">
        <v>2033</v>
      </c>
      <c r="EOC3" t="s">
        <v>2466</v>
      </c>
      <c r="EOD3" t="s">
        <v>2472</v>
      </c>
      <c r="EOE3" t="s">
        <v>2473</v>
      </c>
      <c r="EOF3" t="s">
        <v>2468</v>
      </c>
      <c r="EOG3" t="s">
        <v>2474</v>
      </c>
      <c r="EOH3" t="s">
        <v>2475</v>
      </c>
      <c r="EOI3" t="s">
        <v>2476</v>
      </c>
      <c r="EOJ3" t="s">
        <v>828</v>
      </c>
      <c r="EOK3" t="s">
        <v>2477</v>
      </c>
      <c r="EOL3" t="s">
        <v>2478</v>
      </c>
      <c r="EOM3" t="s">
        <v>2479</v>
      </c>
      <c r="EON3" t="s">
        <v>2480</v>
      </c>
      <c r="EOO3" t="s">
        <v>2481</v>
      </c>
      <c r="EOP3" t="s">
        <v>828</v>
      </c>
      <c r="EOQ3" t="s">
        <v>2482</v>
      </c>
      <c r="EOR3" t="s">
        <v>828</v>
      </c>
      <c r="EOS3" t="s">
        <v>2483</v>
      </c>
      <c r="EOT3" t="s">
        <v>828</v>
      </c>
      <c r="EOU3" t="s">
        <v>2484</v>
      </c>
      <c r="EOV3" t="s">
        <v>828</v>
      </c>
      <c r="EOW3" t="s">
        <v>2485</v>
      </c>
      <c r="EOX3" t="s">
        <v>142</v>
      </c>
      <c r="EOY3" t="s">
        <v>2486</v>
      </c>
      <c r="EOZ3" t="s">
        <v>828</v>
      </c>
      <c r="EPA3" t="s">
        <v>2487</v>
      </c>
      <c r="EPB3" t="s">
        <v>142</v>
      </c>
      <c r="EPC3" t="s">
        <v>2486</v>
      </c>
      <c r="EPD3" t="s">
        <v>828</v>
      </c>
      <c r="EPE3" t="s">
        <v>2488</v>
      </c>
      <c r="EPF3" t="s">
        <v>142</v>
      </c>
      <c r="EPG3" t="s">
        <v>2489</v>
      </c>
      <c r="EPH3" t="s">
        <v>1422</v>
      </c>
      <c r="EPI3" t="s">
        <v>2490</v>
      </c>
      <c r="EPJ3" t="s">
        <v>142</v>
      </c>
      <c r="EPK3" t="s">
        <v>2489</v>
      </c>
      <c r="EPL3" t="s">
        <v>1422</v>
      </c>
      <c r="EPM3" t="s">
        <v>2491</v>
      </c>
      <c r="EPN3" t="s">
        <v>825</v>
      </c>
      <c r="EPO3" t="s">
        <v>2492</v>
      </c>
      <c r="EPP3" t="s">
        <v>1422</v>
      </c>
      <c r="EPQ3" t="s">
        <v>2493</v>
      </c>
      <c r="EPR3" t="s">
        <v>1422</v>
      </c>
      <c r="EPS3" t="s">
        <v>141</v>
      </c>
      <c r="EPT3" t="s">
        <v>142</v>
      </c>
      <c r="EPU3" t="s">
        <v>2494</v>
      </c>
      <c r="EPV3" t="s">
        <v>1422</v>
      </c>
      <c r="EPW3" t="s">
        <v>2495</v>
      </c>
      <c r="EPX3" t="s">
        <v>142</v>
      </c>
      <c r="EPY3" t="s">
        <v>825</v>
      </c>
      <c r="EPZ3" t="s">
        <v>809</v>
      </c>
      <c r="EQA3" t="s">
        <v>2496</v>
      </c>
      <c r="EQB3" t="s">
        <v>2497</v>
      </c>
      <c r="EQC3" t="s">
        <v>2498</v>
      </c>
      <c r="EQD3" t="s">
        <v>44</v>
      </c>
      <c r="EQE3" t="s">
        <v>835</v>
      </c>
      <c r="EQF3" t="s">
        <v>2499</v>
      </c>
      <c r="EQG3" t="s">
        <v>2500</v>
      </c>
      <c r="EQH3" t="s">
        <v>936</v>
      </c>
      <c r="EQI3" t="s">
        <v>2501</v>
      </c>
      <c r="EQJ3" t="s">
        <v>44</v>
      </c>
      <c r="EQK3" t="s">
        <v>125</v>
      </c>
      <c r="EQL3" t="s">
        <v>2502</v>
      </c>
      <c r="EQM3" t="s">
        <v>2503</v>
      </c>
      <c r="EQN3" t="s">
        <v>2504</v>
      </c>
      <c r="EQO3" t="s">
        <v>2505</v>
      </c>
      <c r="EQP3" t="s">
        <v>2506</v>
      </c>
      <c r="EQQ3" t="s">
        <v>2507</v>
      </c>
      <c r="EQR3" t="s">
        <v>2508</v>
      </c>
      <c r="EQS3" t="s">
        <v>2509</v>
      </c>
      <c r="EQT3" t="s">
        <v>2510</v>
      </c>
      <c r="EQU3" t="s">
        <v>2511</v>
      </c>
      <c r="EQV3" t="s">
        <v>49</v>
      </c>
      <c r="EQW3" t="s">
        <v>2512</v>
      </c>
      <c r="EQX3" t="s">
        <v>2513</v>
      </c>
      <c r="EQY3" t="s">
        <v>2514</v>
      </c>
      <c r="EQZ3" t="s">
        <v>2515</v>
      </c>
      <c r="ERA3" t="s">
        <v>2516</v>
      </c>
      <c r="ERB3" t="s">
        <v>2517</v>
      </c>
      <c r="ERC3" t="s">
        <v>2518</v>
      </c>
      <c r="ERD3" t="s">
        <v>2519</v>
      </c>
      <c r="ERE3" t="s">
        <v>2520</v>
      </c>
      <c r="ERF3" t="s">
        <v>1503</v>
      </c>
      <c r="ERG3" t="s">
        <v>511</v>
      </c>
      <c r="ERH3" t="s">
        <v>282</v>
      </c>
      <c r="ERI3" t="s">
        <v>2521</v>
      </c>
      <c r="ERJ3" t="s">
        <v>1503</v>
      </c>
      <c r="ERK3" t="s">
        <v>49</v>
      </c>
      <c r="ERL3" t="s">
        <v>2522</v>
      </c>
      <c r="ERM3" t="s">
        <v>2523</v>
      </c>
      <c r="ERN3" t="s">
        <v>2524</v>
      </c>
      <c r="ERO3" t="s">
        <v>2525</v>
      </c>
      <c r="ERP3" t="s">
        <v>2526</v>
      </c>
      <c r="ERQ3" t="s">
        <v>2527</v>
      </c>
      <c r="ERR3" t="s">
        <v>2528</v>
      </c>
      <c r="ERS3" t="s">
        <v>2529</v>
      </c>
      <c r="ERT3" t="s">
        <v>2530</v>
      </c>
      <c r="ERU3" t="s">
        <v>2531</v>
      </c>
      <c r="ERV3" t="s">
        <v>2532</v>
      </c>
      <c r="ERW3" t="s">
        <v>2533</v>
      </c>
      <c r="ERX3" t="s">
        <v>2534</v>
      </c>
      <c r="ERY3" t="s">
        <v>2535</v>
      </c>
      <c r="ERZ3" t="s">
        <v>2536</v>
      </c>
      <c r="ESA3" t="s">
        <v>2537</v>
      </c>
      <c r="ESB3" t="s">
        <v>44</v>
      </c>
      <c r="ESC3" t="s">
        <v>835</v>
      </c>
      <c r="ESD3" t="s">
        <v>2499</v>
      </c>
      <c r="ESE3" t="s">
        <v>2538</v>
      </c>
      <c r="ESF3" t="s">
        <v>2539</v>
      </c>
      <c r="ESG3" t="s">
        <v>2540</v>
      </c>
      <c r="ESH3" t="s">
        <v>44</v>
      </c>
      <c r="ESI3" t="s">
        <v>125</v>
      </c>
      <c r="ESJ3" t="s">
        <v>2541</v>
      </c>
      <c r="ESK3" t="s">
        <v>2542</v>
      </c>
      <c r="ESL3" t="s">
        <v>2543</v>
      </c>
      <c r="ESM3" t="s">
        <v>2544</v>
      </c>
      <c r="ESN3" t="s">
        <v>2545</v>
      </c>
      <c r="ESO3" t="s">
        <v>254</v>
      </c>
      <c r="ESP3" t="s">
        <v>511</v>
      </c>
      <c r="ESQ3" t="s">
        <v>255</v>
      </c>
      <c r="ESR3" t="s">
        <v>2546</v>
      </c>
      <c r="ESS3" t="s">
        <v>2547</v>
      </c>
      <c r="EST3" t="s">
        <v>2548</v>
      </c>
      <c r="ESU3" t="s">
        <v>2549</v>
      </c>
      <c r="ESV3" t="s">
        <v>2550</v>
      </c>
      <c r="ESW3" t="s">
        <v>2551</v>
      </c>
      <c r="ESX3" t="s">
        <v>2552</v>
      </c>
      <c r="ESY3" t="s">
        <v>2553</v>
      </c>
      <c r="ESZ3" t="s">
        <v>2554</v>
      </c>
      <c r="ETA3" t="s">
        <v>2555</v>
      </c>
      <c r="ETB3" t="s">
        <v>2556</v>
      </c>
      <c r="ETC3" t="s">
        <v>2557</v>
      </c>
      <c r="ETD3" t="s">
        <v>1336</v>
      </c>
      <c r="ETE3" t="s">
        <v>2558</v>
      </c>
      <c r="ETF3" t="s">
        <v>2559</v>
      </c>
      <c r="ETG3" t="s">
        <v>2560</v>
      </c>
      <c r="ETH3" t="s">
        <v>2561</v>
      </c>
      <c r="ETI3" t="s">
        <v>2562</v>
      </c>
      <c r="ETJ3" t="s">
        <v>44</v>
      </c>
      <c r="ETK3" t="s">
        <v>243</v>
      </c>
      <c r="ETL3" t="s">
        <v>2563</v>
      </c>
      <c r="ETM3" t="s">
        <v>2564</v>
      </c>
      <c r="ETN3" t="s">
        <v>2565</v>
      </c>
      <c r="ETO3" t="s">
        <v>1352</v>
      </c>
      <c r="ETP3" t="s">
        <v>2566</v>
      </c>
      <c r="ETQ3" t="s">
        <v>2567</v>
      </c>
      <c r="ETR3" t="s">
        <v>2568</v>
      </c>
      <c r="ETS3" t="s">
        <v>2569</v>
      </c>
      <c r="ETT3" t="s">
        <v>1352</v>
      </c>
      <c r="ETU3" t="s">
        <v>2566</v>
      </c>
      <c r="ETV3" t="s">
        <v>1352</v>
      </c>
      <c r="ETW3" t="s">
        <v>2570</v>
      </c>
      <c r="ETX3" t="s">
        <v>2571</v>
      </c>
      <c r="ETY3" t="s">
        <v>2572</v>
      </c>
      <c r="ETZ3" t="s">
        <v>2573</v>
      </c>
      <c r="EUA3" t="s">
        <v>2574</v>
      </c>
      <c r="EUB3" t="s">
        <v>2575</v>
      </c>
      <c r="EUC3" t="s">
        <v>2576</v>
      </c>
      <c r="EUD3" t="s">
        <v>2577</v>
      </c>
      <c r="EUE3" t="s">
        <v>2578</v>
      </c>
      <c r="EUF3" t="s">
        <v>2579</v>
      </c>
      <c r="EUG3" t="s">
        <v>2580</v>
      </c>
      <c r="EUH3" t="s">
        <v>2581</v>
      </c>
      <c r="EUI3" t="s">
        <v>2582</v>
      </c>
      <c r="EUJ3" t="s">
        <v>2583</v>
      </c>
      <c r="EUK3" t="s">
        <v>2581</v>
      </c>
      <c r="EUL3" t="s">
        <v>2584</v>
      </c>
      <c r="EUM3" t="s">
        <v>2585</v>
      </c>
      <c r="EUN3" t="s">
        <v>2586</v>
      </c>
      <c r="EUO3" t="s">
        <v>2587</v>
      </c>
      <c r="EUP3" t="s">
        <v>2588</v>
      </c>
      <c r="EUQ3" t="s">
        <v>2589</v>
      </c>
      <c r="EUR3" t="s">
        <v>2590</v>
      </c>
      <c r="EUS3" t="s">
        <v>44</v>
      </c>
      <c r="EUT3" t="s">
        <v>2591</v>
      </c>
      <c r="EUU3" t="s">
        <v>2592</v>
      </c>
      <c r="EUV3" t="s">
        <v>2593</v>
      </c>
      <c r="EUW3" t="s">
        <v>2594</v>
      </c>
      <c r="EUX3" t="s">
        <v>2595</v>
      </c>
      <c r="EUY3" t="s">
        <v>44</v>
      </c>
      <c r="EUZ3" t="s">
        <v>333</v>
      </c>
      <c r="EVA3" t="s">
        <v>80</v>
      </c>
      <c r="EVB3" t="s">
        <v>2596</v>
      </c>
      <c r="EVC3" t="s">
        <v>2597</v>
      </c>
      <c r="EVD3" t="s">
        <v>44</v>
      </c>
      <c r="EVE3" t="s">
        <v>125</v>
      </c>
      <c r="EVF3" t="s">
        <v>2598</v>
      </c>
      <c r="EVG3" t="s">
        <v>2599</v>
      </c>
      <c r="EVH3" t="s">
        <v>2600</v>
      </c>
      <c r="EVI3" t="s">
        <v>2601</v>
      </c>
      <c r="EVJ3" t="s">
        <v>2602</v>
      </c>
      <c r="EVK3" t="s">
        <v>2603</v>
      </c>
      <c r="EVL3" t="s">
        <v>2604</v>
      </c>
      <c r="EVM3" t="s">
        <v>2605</v>
      </c>
      <c r="EVN3" t="s">
        <v>2606</v>
      </c>
      <c r="EVO3" t="s">
        <v>2607</v>
      </c>
      <c r="EVP3" t="s">
        <v>2608</v>
      </c>
      <c r="EVQ3" t="s">
        <v>2609</v>
      </c>
      <c r="EVR3" t="s">
        <v>2610</v>
      </c>
      <c r="EVS3" t="s">
        <v>2611</v>
      </c>
      <c r="EVT3" t="s">
        <v>2612</v>
      </c>
      <c r="EVU3" t="s">
        <v>2613</v>
      </c>
      <c r="EVV3" t="s">
        <v>2614</v>
      </c>
      <c r="EVW3" t="s">
        <v>2615</v>
      </c>
      <c r="EVX3" t="s">
        <v>2616</v>
      </c>
      <c r="EVY3" t="s">
        <v>2617</v>
      </c>
      <c r="EVZ3" t="s">
        <v>44</v>
      </c>
      <c r="EWA3" t="s">
        <v>2618</v>
      </c>
      <c r="EWB3" t="s">
        <v>2619</v>
      </c>
      <c r="EWC3" t="s">
        <v>2620</v>
      </c>
      <c r="EWD3" t="s">
        <v>2621</v>
      </c>
      <c r="EWE3" t="s">
        <v>2622</v>
      </c>
      <c r="EWF3" t="s">
        <v>2623</v>
      </c>
      <c r="EWG3" t="s">
        <v>2624</v>
      </c>
      <c r="EWH3" t="s">
        <v>2625</v>
      </c>
      <c r="EWI3" t="s">
        <v>2626</v>
      </c>
      <c r="EWJ3" t="s">
        <v>2627</v>
      </c>
      <c r="EWK3" t="s">
        <v>2623</v>
      </c>
      <c r="EWL3" t="s">
        <v>2628</v>
      </c>
      <c r="EWM3" t="s">
        <v>48</v>
      </c>
      <c r="EWN3" t="s">
        <v>2629</v>
      </c>
      <c r="EWO3" t="s">
        <v>2630</v>
      </c>
      <c r="EWP3" t="s">
        <v>2631</v>
      </c>
      <c r="EWQ3" t="s">
        <v>2632</v>
      </c>
      <c r="EWR3" t="s">
        <v>2633</v>
      </c>
      <c r="EWS3" t="s">
        <v>2634</v>
      </c>
      <c r="EWT3" t="s">
        <v>2635</v>
      </c>
      <c r="EWU3" t="s">
        <v>2636</v>
      </c>
      <c r="EWV3" t="s">
        <v>388</v>
      </c>
      <c r="EWW3" t="s">
        <v>2637</v>
      </c>
      <c r="EWX3" t="s">
        <v>2638</v>
      </c>
      <c r="EWY3" t="s">
        <v>2639</v>
      </c>
      <c r="EWZ3" t="s">
        <v>2640</v>
      </c>
      <c r="EXA3" t="s">
        <v>2641</v>
      </c>
      <c r="EXB3" t="s">
        <v>2642</v>
      </c>
      <c r="EXC3" t="s">
        <v>2643</v>
      </c>
      <c r="EXD3" t="s">
        <v>2644</v>
      </c>
      <c r="EXE3" t="s">
        <v>388</v>
      </c>
      <c r="EXF3" t="s">
        <v>2645</v>
      </c>
      <c r="EXG3" t="s">
        <v>2646</v>
      </c>
      <c r="EXH3" t="s">
        <v>2647</v>
      </c>
      <c r="EXI3" t="s">
        <v>44</v>
      </c>
      <c r="EXJ3" t="s">
        <v>333</v>
      </c>
      <c r="EXK3" t="s">
        <v>2648</v>
      </c>
      <c r="EXL3" t="s">
        <v>2649</v>
      </c>
      <c r="EXM3" t="s">
        <v>2650</v>
      </c>
      <c r="EXN3" t="s">
        <v>2651</v>
      </c>
      <c r="EXO3" t="s">
        <v>2652</v>
      </c>
      <c r="EXP3" t="s">
        <v>2653</v>
      </c>
      <c r="EXQ3" t="s">
        <v>2654</v>
      </c>
      <c r="EXR3" t="s">
        <v>2655</v>
      </c>
      <c r="EXS3" t="s">
        <v>2656</v>
      </c>
      <c r="EXT3" t="s">
        <v>2657</v>
      </c>
      <c r="EXU3" t="s">
        <v>2658</v>
      </c>
      <c r="EXV3" t="s">
        <v>44</v>
      </c>
      <c r="EXW3" t="s">
        <v>2659</v>
      </c>
      <c r="EXX3" t="s">
        <v>2660</v>
      </c>
      <c r="EXY3" t="s">
        <v>2661</v>
      </c>
      <c r="EXZ3" t="s">
        <v>2662</v>
      </c>
      <c r="EYA3" t="s">
        <v>2663</v>
      </c>
      <c r="EYB3" t="s">
        <v>2664</v>
      </c>
      <c r="EYC3" t="s">
        <v>2665</v>
      </c>
      <c r="EYD3" t="s">
        <v>2663</v>
      </c>
      <c r="EYE3" t="s">
        <v>2666</v>
      </c>
      <c r="EYF3" t="s">
        <v>2667</v>
      </c>
      <c r="EYG3" t="s">
        <v>2668</v>
      </c>
      <c r="EYH3" t="s">
        <v>2669</v>
      </c>
      <c r="EYI3" t="s">
        <v>2663</v>
      </c>
      <c r="EYJ3" t="s">
        <v>2670</v>
      </c>
      <c r="EYK3" t="s">
        <v>2671</v>
      </c>
      <c r="EYL3" t="s">
        <v>2663</v>
      </c>
      <c r="EYM3" t="s">
        <v>2672</v>
      </c>
      <c r="EYN3" t="s">
        <v>2673</v>
      </c>
      <c r="EYO3" t="s">
        <v>44</v>
      </c>
      <c r="EYP3" t="s">
        <v>243</v>
      </c>
      <c r="EYQ3" t="s">
        <v>2674</v>
      </c>
      <c r="EYR3" t="s">
        <v>44</v>
      </c>
      <c r="EYS3" t="s">
        <v>125</v>
      </c>
      <c r="EYT3" t="s">
        <v>2675</v>
      </c>
      <c r="EYU3" t="s">
        <v>2676</v>
      </c>
      <c r="EYV3" t="s">
        <v>2677</v>
      </c>
      <c r="EYW3" t="s">
        <v>2678</v>
      </c>
      <c r="EYX3" t="s">
        <v>2679</v>
      </c>
      <c r="EYY3" t="s">
        <v>2680</v>
      </c>
      <c r="EYZ3" t="s">
        <v>2681</v>
      </c>
      <c r="EZA3" t="s">
        <v>2682</v>
      </c>
      <c r="EZB3" t="s">
        <v>48</v>
      </c>
      <c r="EZC3" t="s">
        <v>2683</v>
      </c>
      <c r="EZD3" t="s">
        <v>2684</v>
      </c>
      <c r="EZE3" t="s">
        <v>2685</v>
      </c>
      <c r="EZF3" t="s">
        <v>48</v>
      </c>
      <c r="EZG3" t="s">
        <v>2686</v>
      </c>
      <c r="EZH3" t="s">
        <v>2687</v>
      </c>
      <c r="EZI3" t="s">
        <v>48</v>
      </c>
      <c r="EZJ3" t="s">
        <v>2688</v>
      </c>
      <c r="EZK3" t="s">
        <v>2689</v>
      </c>
      <c r="EZL3" t="s">
        <v>48</v>
      </c>
      <c r="EZM3" t="s">
        <v>2690</v>
      </c>
      <c r="EZN3" t="s">
        <v>2691</v>
      </c>
      <c r="EZO3" t="s">
        <v>48</v>
      </c>
      <c r="EZP3" t="s">
        <v>2692</v>
      </c>
      <c r="EZQ3" t="s">
        <v>2693</v>
      </c>
      <c r="EZR3" t="s">
        <v>48</v>
      </c>
      <c r="EZS3" t="s">
        <v>2694</v>
      </c>
      <c r="EZT3" t="s">
        <v>2695</v>
      </c>
      <c r="EZU3" t="s">
        <v>48</v>
      </c>
      <c r="EZV3" t="s">
        <v>2696</v>
      </c>
      <c r="EZW3" t="s">
        <v>2697</v>
      </c>
      <c r="EZX3" t="s">
        <v>48</v>
      </c>
      <c r="EZY3" t="s">
        <v>2698</v>
      </c>
      <c r="EZZ3" t="s">
        <v>2699</v>
      </c>
      <c r="FAA3" t="s">
        <v>48</v>
      </c>
      <c r="FAB3" t="s">
        <v>2700</v>
      </c>
      <c r="FAC3" t="s">
        <v>2701</v>
      </c>
      <c r="FAD3" t="s">
        <v>48</v>
      </c>
      <c r="FAE3" t="s">
        <v>2702</v>
      </c>
      <c r="FAF3" t="s">
        <v>2703</v>
      </c>
      <c r="FAG3" t="s">
        <v>48</v>
      </c>
      <c r="FAH3" t="s">
        <v>2704</v>
      </c>
      <c r="FAI3" t="s">
        <v>2705</v>
      </c>
      <c r="FAJ3" t="s">
        <v>48</v>
      </c>
      <c r="FAK3" t="s">
        <v>2706</v>
      </c>
      <c r="FAL3" t="s">
        <v>2707</v>
      </c>
      <c r="FAM3" t="s">
        <v>44</v>
      </c>
      <c r="FAN3" t="s">
        <v>2708</v>
      </c>
      <c r="FAO3" t="s">
        <v>2709</v>
      </c>
      <c r="FAP3" t="s">
        <v>44</v>
      </c>
      <c r="FAQ3" t="s">
        <v>2710</v>
      </c>
      <c r="FAR3" t="s">
        <v>2711</v>
      </c>
      <c r="FAS3" t="s">
        <v>2712</v>
      </c>
      <c r="FAT3" t="s">
        <v>2713</v>
      </c>
      <c r="FAU3" t="s">
        <v>2714</v>
      </c>
      <c r="FAV3" t="s">
        <v>44</v>
      </c>
      <c r="FAW3" t="s">
        <v>125</v>
      </c>
      <c r="FAX3" t="s">
        <v>388</v>
      </c>
      <c r="FAY3" t="s">
        <v>2715</v>
      </c>
      <c r="FAZ3" t="s">
        <v>2716</v>
      </c>
      <c r="FBA3" t="s">
        <v>2717</v>
      </c>
      <c r="FBB3" t="s">
        <v>2718</v>
      </c>
      <c r="FBC3" t="s">
        <v>2719</v>
      </c>
      <c r="FBD3" t="s">
        <v>2720</v>
      </c>
      <c r="FBE3" t="s">
        <v>2721</v>
      </c>
      <c r="FBF3" t="s">
        <v>2722</v>
      </c>
      <c r="FBG3" t="s">
        <v>2723</v>
      </c>
      <c r="FBH3" t="s">
        <v>2724</v>
      </c>
      <c r="FBI3" t="s">
        <v>2725</v>
      </c>
      <c r="FBJ3" t="s">
        <v>44</v>
      </c>
      <c r="FBK3" t="s">
        <v>243</v>
      </c>
      <c r="FBL3" t="s">
        <v>2726</v>
      </c>
      <c r="FBM3" t="s">
        <v>2727</v>
      </c>
      <c r="FBN3" t="s">
        <v>44</v>
      </c>
      <c r="FBO3" t="s">
        <v>125</v>
      </c>
      <c r="FBP3" t="s">
        <v>2728</v>
      </c>
      <c r="FBQ3" t="s">
        <v>2729</v>
      </c>
      <c r="FBR3" t="s">
        <v>2730</v>
      </c>
      <c r="FBS3" t="s">
        <v>44</v>
      </c>
      <c r="FBT3" t="s">
        <v>2731</v>
      </c>
      <c r="FBU3" t="s">
        <v>2732</v>
      </c>
      <c r="FBV3" t="s">
        <v>44</v>
      </c>
      <c r="FBW3" t="s">
        <v>46</v>
      </c>
      <c r="FBX3" t="s">
        <v>125</v>
      </c>
      <c r="FBY3" t="s">
        <v>2733</v>
      </c>
      <c r="FBZ3" t="s">
        <v>2734</v>
      </c>
      <c r="FCA3" t="s">
        <v>2735</v>
      </c>
      <c r="FCB3" t="s">
        <v>44</v>
      </c>
      <c r="FCC3" t="s">
        <v>2736</v>
      </c>
      <c r="FCD3" t="s">
        <v>2737</v>
      </c>
      <c r="FCE3" t="s">
        <v>2738</v>
      </c>
      <c r="FCF3" t="s">
        <v>2739</v>
      </c>
      <c r="FCG3" t="s">
        <v>2740</v>
      </c>
      <c r="FCH3" t="s">
        <v>2741</v>
      </c>
      <c r="FCI3" t="s">
        <v>2742</v>
      </c>
      <c r="FCJ3" t="s">
        <v>2743</v>
      </c>
      <c r="FCK3" t="s">
        <v>2744</v>
      </c>
      <c r="FCL3" t="s">
        <v>2742</v>
      </c>
      <c r="FCM3" t="s">
        <v>2745</v>
      </c>
      <c r="FCN3" t="s">
        <v>2746</v>
      </c>
      <c r="FCO3" t="s">
        <v>125</v>
      </c>
      <c r="FCP3" t="s">
        <v>126</v>
      </c>
      <c r="FCQ3" t="s">
        <v>2747</v>
      </c>
      <c r="FCR3" t="s">
        <v>2748</v>
      </c>
      <c r="FCS3" t="s">
        <v>2749</v>
      </c>
      <c r="FCT3" t="s">
        <v>44</v>
      </c>
      <c r="FCU3" t="s">
        <v>2750</v>
      </c>
      <c r="FCV3" t="s">
        <v>2751</v>
      </c>
      <c r="FCW3" t="s">
        <v>2752</v>
      </c>
      <c r="FCX3" t="s">
        <v>44</v>
      </c>
      <c r="FCY3" t="s">
        <v>2753</v>
      </c>
      <c r="FCZ3" t="s">
        <v>2754</v>
      </c>
      <c r="FDA3" t="s">
        <v>2755</v>
      </c>
      <c r="FDB3" t="s">
        <v>2756</v>
      </c>
      <c r="FDC3" t="s">
        <v>2757</v>
      </c>
      <c r="FDD3" t="s">
        <v>125</v>
      </c>
      <c r="FDE3" t="s">
        <v>2758</v>
      </c>
      <c r="FDF3" t="s">
        <v>2759</v>
      </c>
      <c r="FDG3" t="s">
        <v>2760</v>
      </c>
      <c r="FDH3" t="s">
        <v>2761</v>
      </c>
      <c r="FDI3" t="s">
        <v>2762</v>
      </c>
      <c r="FDJ3" t="s">
        <v>255</v>
      </c>
      <c r="FDK3" t="s">
        <v>125</v>
      </c>
      <c r="FDL3" t="s">
        <v>126</v>
      </c>
      <c r="FDM3" t="s">
        <v>2763</v>
      </c>
      <c r="FDN3" t="s">
        <v>2764</v>
      </c>
      <c r="FDO3" t="s">
        <v>2765</v>
      </c>
      <c r="FDP3" t="s">
        <v>2766</v>
      </c>
      <c r="FDQ3" t="s">
        <v>2767</v>
      </c>
      <c r="FDR3" t="s">
        <v>2768</v>
      </c>
      <c r="FDS3" t="s">
        <v>125</v>
      </c>
      <c r="FDT3" t="s">
        <v>1475</v>
      </c>
      <c r="FDU3" t="s">
        <v>2088</v>
      </c>
      <c r="FDV3" t="s">
        <v>2769</v>
      </c>
      <c r="FDW3" t="s">
        <v>44</v>
      </c>
      <c r="FDX3" t="s">
        <v>2770</v>
      </c>
      <c r="FDY3" t="s">
        <v>2771</v>
      </c>
      <c r="FDZ3" t="s">
        <v>2772</v>
      </c>
      <c r="FEA3" t="s">
        <v>2773</v>
      </c>
      <c r="FEB3" t="s">
        <v>2774</v>
      </c>
      <c r="FEC3" t="s">
        <v>44</v>
      </c>
      <c r="FED3" t="s">
        <v>2770</v>
      </c>
      <c r="FEE3" t="s">
        <v>2775</v>
      </c>
      <c r="FEF3" t="s">
        <v>2772</v>
      </c>
      <c r="FEG3" t="s">
        <v>2776</v>
      </c>
      <c r="FEH3" t="s">
        <v>2777</v>
      </c>
      <c r="FEI3" t="s">
        <v>2778</v>
      </c>
      <c r="FEJ3" t="s">
        <v>2779</v>
      </c>
      <c r="FEK3" t="s">
        <v>2780</v>
      </c>
      <c r="FEL3" t="s">
        <v>2781</v>
      </c>
      <c r="FEM3" t="s">
        <v>2782</v>
      </c>
      <c r="FEN3" t="s">
        <v>2783</v>
      </c>
      <c r="FEO3" t="s">
        <v>2784</v>
      </c>
      <c r="FEP3" t="s">
        <v>2785</v>
      </c>
      <c r="FEQ3" t="s">
        <v>2786</v>
      </c>
      <c r="FER3" t="s">
        <v>2787</v>
      </c>
      <c r="FES3" t="s">
        <v>2788</v>
      </c>
      <c r="FET3" t="s">
        <v>2789</v>
      </c>
      <c r="FEU3" t="s">
        <v>44</v>
      </c>
      <c r="FEV3" t="s">
        <v>333</v>
      </c>
      <c r="FEW3" t="s">
        <v>80</v>
      </c>
      <c r="FEX3" t="s">
        <v>2790</v>
      </c>
      <c r="FEY3" t="s">
        <v>936</v>
      </c>
      <c r="FEZ3" t="s">
        <v>2791</v>
      </c>
      <c r="FFA3" t="s">
        <v>2792</v>
      </c>
      <c r="FFB3" t="s">
        <v>2793</v>
      </c>
      <c r="FFC3" t="s">
        <v>2794</v>
      </c>
      <c r="FFD3" t="s">
        <v>2795</v>
      </c>
      <c r="FFE3" t="s">
        <v>2796</v>
      </c>
      <c r="FFF3" t="s">
        <v>343</v>
      </c>
      <c r="FFG3" t="s">
        <v>344</v>
      </c>
      <c r="FFH3" t="s">
        <v>2797</v>
      </c>
      <c r="FFI3" t="s">
        <v>2798</v>
      </c>
      <c r="FFJ3" t="s">
        <v>2799</v>
      </c>
      <c r="FFK3" t="s">
        <v>2800</v>
      </c>
      <c r="FFL3" t="s">
        <v>2801</v>
      </c>
      <c r="FFM3" t="s">
        <v>2802</v>
      </c>
      <c r="FFN3" t="s">
        <v>2803</v>
      </c>
      <c r="FFO3" t="s">
        <v>2804</v>
      </c>
      <c r="FFP3" t="s">
        <v>2805</v>
      </c>
      <c r="FFQ3" t="s">
        <v>2806</v>
      </c>
      <c r="FFR3" t="s">
        <v>2807</v>
      </c>
      <c r="FFS3" t="s">
        <v>2808</v>
      </c>
      <c r="FFT3" t="s">
        <v>2809</v>
      </c>
      <c r="FFU3" t="s">
        <v>2810</v>
      </c>
      <c r="FFV3" t="s">
        <v>2811</v>
      </c>
      <c r="FFW3" t="s">
        <v>2812</v>
      </c>
      <c r="FFX3" t="s">
        <v>2813</v>
      </c>
      <c r="FFY3" t="s">
        <v>2814</v>
      </c>
      <c r="FFZ3" t="s">
        <v>2815</v>
      </c>
      <c r="FGA3" t="s">
        <v>2816</v>
      </c>
      <c r="FGB3" t="s">
        <v>2817</v>
      </c>
      <c r="FGC3" t="s">
        <v>2818</v>
      </c>
      <c r="FGD3" t="s">
        <v>2819</v>
      </c>
      <c r="FGE3" t="s">
        <v>2820</v>
      </c>
      <c r="FGF3" t="s">
        <v>2821</v>
      </c>
      <c r="FGG3" t="s">
        <v>2822</v>
      </c>
      <c r="FGH3" t="s">
        <v>2823</v>
      </c>
      <c r="FGI3" t="s">
        <v>2824</v>
      </c>
      <c r="FGJ3" t="s">
        <v>2825</v>
      </c>
      <c r="FGK3" t="s">
        <v>2826</v>
      </c>
      <c r="FGL3" t="s">
        <v>2827</v>
      </c>
      <c r="FGM3" t="s">
        <v>44</v>
      </c>
      <c r="FGN3" t="s">
        <v>125</v>
      </c>
      <c r="FGO3" t="s">
        <v>2828</v>
      </c>
      <c r="FGP3" t="s">
        <v>2829</v>
      </c>
      <c r="FGQ3" t="s">
        <v>2830</v>
      </c>
      <c r="FGR3" t="s">
        <v>44</v>
      </c>
      <c r="FGS3" t="s">
        <v>125</v>
      </c>
      <c r="FGT3" t="s">
        <v>47</v>
      </c>
      <c r="FGU3" t="s">
        <v>2831</v>
      </c>
      <c r="FGV3" t="s">
        <v>2832</v>
      </c>
      <c r="FGW3" t="s">
        <v>896</v>
      </c>
      <c r="FGX3" t="s">
        <v>1308</v>
      </c>
      <c r="FGY3" t="s">
        <v>2833</v>
      </c>
      <c r="FGZ3" t="s">
        <v>2834</v>
      </c>
      <c r="FHA3" t="s">
        <v>2835</v>
      </c>
      <c r="FHB3" t="s">
        <v>2836</v>
      </c>
      <c r="FHC3" t="s">
        <v>2837</v>
      </c>
      <c r="FHD3" t="s">
        <v>2838</v>
      </c>
      <c r="FHE3" t="s">
        <v>2839</v>
      </c>
      <c r="FHF3" t="s">
        <v>2840</v>
      </c>
      <c r="FHG3" t="s">
        <v>2841</v>
      </c>
      <c r="FHH3" t="s">
        <v>2842</v>
      </c>
      <c r="FHI3" t="s">
        <v>49</v>
      </c>
      <c r="FHJ3" t="s">
        <v>282</v>
      </c>
      <c r="FHK3" t="s">
        <v>2843</v>
      </c>
      <c r="FHL3" t="s">
        <v>49</v>
      </c>
      <c r="FHM3" t="s">
        <v>2844</v>
      </c>
      <c r="FHN3" t="s">
        <v>2845</v>
      </c>
      <c r="FHO3" t="s">
        <v>2846</v>
      </c>
      <c r="FHP3" t="s">
        <v>2847</v>
      </c>
      <c r="FHQ3" t="s">
        <v>2848</v>
      </c>
      <c r="FHR3" t="s">
        <v>2849</v>
      </c>
      <c r="FHS3" t="s">
        <v>2850</v>
      </c>
      <c r="FHT3" t="s">
        <v>2851</v>
      </c>
      <c r="FHU3" t="s">
        <v>2852</v>
      </c>
      <c r="FHV3" t="s">
        <v>2853</v>
      </c>
      <c r="FHW3" t="s">
        <v>2854</v>
      </c>
      <c r="FHX3" t="s">
        <v>2855</v>
      </c>
      <c r="FHY3" t="s">
        <v>2856</v>
      </c>
      <c r="FHZ3" t="s">
        <v>2857</v>
      </c>
      <c r="FIA3" t="s">
        <v>2858</v>
      </c>
      <c r="FIB3" t="s">
        <v>2859</v>
      </c>
      <c r="FIC3" t="s">
        <v>2860</v>
      </c>
      <c r="FID3" t="s">
        <v>2861</v>
      </c>
      <c r="FIE3" t="s">
        <v>2862</v>
      </c>
      <c r="FIF3" t="s">
        <v>629</v>
      </c>
      <c r="FIG3" t="s">
        <v>2863</v>
      </c>
      <c r="FIH3" t="s">
        <v>2864</v>
      </c>
      <c r="FII3" t="s">
        <v>2865</v>
      </c>
      <c r="FIJ3" t="s">
        <v>2866</v>
      </c>
      <c r="FIK3" t="s">
        <v>2867</v>
      </c>
      <c r="FIL3" t="s">
        <v>2868</v>
      </c>
      <c r="FIM3" t="s">
        <v>2869</v>
      </c>
      <c r="FIN3" t="s">
        <v>2870</v>
      </c>
      <c r="FIO3" t="s">
        <v>2871</v>
      </c>
      <c r="FIP3" t="s">
        <v>2872</v>
      </c>
      <c r="FIQ3" t="s">
        <v>2873</v>
      </c>
      <c r="FIR3" t="s">
        <v>2874</v>
      </c>
      <c r="FIS3" t="s">
        <v>2875</v>
      </c>
      <c r="FIT3" t="s">
        <v>2876</v>
      </c>
      <c r="FIU3" t="s">
        <v>2877</v>
      </c>
      <c r="FIV3" t="s">
        <v>2878</v>
      </c>
      <c r="FIW3" t="s">
        <v>2879</v>
      </c>
      <c r="FIX3" t="s">
        <v>2880</v>
      </c>
      <c r="FIY3" t="s">
        <v>2881</v>
      </c>
      <c r="FIZ3" t="s">
        <v>2882</v>
      </c>
      <c r="FJA3" t="s">
        <v>2883</v>
      </c>
      <c r="FJB3" t="s">
        <v>2884</v>
      </c>
      <c r="FJC3" t="s">
        <v>1405</v>
      </c>
      <c r="FJD3" t="s">
        <v>2885</v>
      </c>
      <c r="FJE3" t="s">
        <v>2886</v>
      </c>
      <c r="FJF3" t="s">
        <v>2887</v>
      </c>
      <c r="FJG3" t="s">
        <v>2888</v>
      </c>
      <c r="FJH3" t="s">
        <v>2889</v>
      </c>
      <c r="FJI3" t="s">
        <v>2890</v>
      </c>
      <c r="FJJ3" t="s">
        <v>2891</v>
      </c>
      <c r="FJK3" t="s">
        <v>2892</v>
      </c>
      <c r="FJL3" t="s">
        <v>2893</v>
      </c>
      <c r="FJM3" t="s">
        <v>2894</v>
      </c>
      <c r="FJN3" t="s">
        <v>2895</v>
      </c>
      <c r="FJO3" t="s">
        <v>2896</v>
      </c>
      <c r="FJP3" t="s">
        <v>2897</v>
      </c>
      <c r="FJQ3" t="s">
        <v>2898</v>
      </c>
      <c r="FJR3" t="s">
        <v>2899</v>
      </c>
      <c r="FJS3" t="s">
        <v>2900</v>
      </c>
      <c r="FJT3" t="s">
        <v>44</v>
      </c>
      <c r="FJU3" t="s">
        <v>2615</v>
      </c>
      <c r="FJV3" t="s">
        <v>2901</v>
      </c>
      <c r="FJW3" t="s">
        <v>2902</v>
      </c>
      <c r="FJX3" t="s">
        <v>2903</v>
      </c>
      <c r="FJY3" t="s">
        <v>2904</v>
      </c>
      <c r="FJZ3" t="s">
        <v>2905</v>
      </c>
      <c r="FKA3" t="s">
        <v>2906</v>
      </c>
      <c r="FKB3" t="s">
        <v>2907</v>
      </c>
      <c r="FKC3" t="s">
        <v>2908</v>
      </c>
      <c r="FKD3" t="s">
        <v>2909</v>
      </c>
      <c r="FKE3" t="s">
        <v>2910</v>
      </c>
      <c r="FKF3" t="s">
        <v>2911</v>
      </c>
      <c r="FKG3" t="s">
        <v>2912</v>
      </c>
      <c r="FKH3" t="s">
        <v>2913</v>
      </c>
      <c r="FKI3" t="s">
        <v>2914</v>
      </c>
      <c r="FKJ3" t="s">
        <v>2915</v>
      </c>
      <c r="FKK3" t="s">
        <v>2916</v>
      </c>
      <c r="FKL3" t="s">
        <v>2917</v>
      </c>
      <c r="FKM3" t="s">
        <v>2918</v>
      </c>
      <c r="FKN3" t="s">
        <v>2919</v>
      </c>
      <c r="FKO3" t="s">
        <v>2920</v>
      </c>
      <c r="FKP3" t="s">
        <v>2921</v>
      </c>
      <c r="FKQ3" t="s">
        <v>2922</v>
      </c>
      <c r="FKR3" t="s">
        <v>2923</v>
      </c>
      <c r="FKS3" t="s">
        <v>2924</v>
      </c>
      <c r="FKT3" t="s">
        <v>2925</v>
      </c>
      <c r="FKU3" t="s">
        <v>2926</v>
      </c>
      <c r="FKV3" t="s">
        <v>2927</v>
      </c>
      <c r="FKW3" t="s">
        <v>2928</v>
      </c>
      <c r="FKX3" t="s">
        <v>2929</v>
      </c>
      <c r="FKY3" t="s">
        <v>2930</v>
      </c>
      <c r="FKZ3" t="s">
        <v>2931</v>
      </c>
      <c r="FLA3" t="s">
        <v>2932</v>
      </c>
      <c r="FLB3" t="s">
        <v>2933</v>
      </c>
      <c r="FLC3" t="s">
        <v>2934</v>
      </c>
      <c r="FLD3" t="s">
        <v>2935</v>
      </c>
      <c r="FLE3" t="s">
        <v>2936</v>
      </c>
      <c r="FLF3" t="s">
        <v>2937</v>
      </c>
      <c r="FLG3" t="s">
        <v>2938</v>
      </c>
      <c r="FLH3" t="s">
        <v>2939</v>
      </c>
      <c r="FLI3" t="s">
        <v>2940</v>
      </c>
      <c r="FLJ3" t="s">
        <v>2866</v>
      </c>
      <c r="FLK3" t="s">
        <v>2867</v>
      </c>
      <c r="FLL3" t="s">
        <v>2865</v>
      </c>
      <c r="FLM3" t="s">
        <v>2941</v>
      </c>
      <c r="FLN3" t="s">
        <v>2942</v>
      </c>
      <c r="FLO3" t="s">
        <v>2943</v>
      </c>
      <c r="FLP3" t="s">
        <v>2944</v>
      </c>
      <c r="FLQ3" t="s">
        <v>2945</v>
      </c>
      <c r="FLR3" t="s">
        <v>2946</v>
      </c>
      <c r="FLS3" t="s">
        <v>2947</v>
      </c>
      <c r="FLT3" t="s">
        <v>2948</v>
      </c>
      <c r="FLU3" t="s">
        <v>2949</v>
      </c>
      <c r="FLV3" t="s">
        <v>2950</v>
      </c>
      <c r="FLW3" t="s">
        <v>2951</v>
      </c>
      <c r="FLX3" t="s">
        <v>2952</v>
      </c>
      <c r="FLY3" t="s">
        <v>2866</v>
      </c>
      <c r="FLZ3" t="s">
        <v>2867</v>
      </c>
      <c r="FMA3" t="s">
        <v>2855</v>
      </c>
      <c r="FMB3" t="s">
        <v>2953</v>
      </c>
      <c r="FMC3" t="s">
        <v>2954</v>
      </c>
      <c r="FMD3" t="s">
        <v>2955</v>
      </c>
      <c r="FME3" t="s">
        <v>2956</v>
      </c>
      <c r="FMF3" t="s">
        <v>2957</v>
      </c>
      <c r="FMG3" t="s">
        <v>44</v>
      </c>
      <c r="FMH3" t="s">
        <v>45</v>
      </c>
      <c r="FMI3" t="s">
        <v>2958</v>
      </c>
      <c r="FMJ3" t="s">
        <v>2959</v>
      </c>
      <c r="FMK3" t="s">
        <v>2960</v>
      </c>
      <c r="FML3" t="s">
        <v>2961</v>
      </c>
      <c r="FMM3" t="s">
        <v>2962</v>
      </c>
      <c r="FMN3" t="s">
        <v>2963</v>
      </c>
      <c r="FMO3" t="s">
        <v>2964</v>
      </c>
      <c r="FMP3" t="s">
        <v>2965</v>
      </c>
      <c r="FMQ3" t="s">
        <v>2966</v>
      </c>
      <c r="FMR3" t="s">
        <v>2967</v>
      </c>
      <c r="FMS3" t="s">
        <v>2968</v>
      </c>
      <c r="FMT3" t="s">
        <v>2969</v>
      </c>
      <c r="FMU3" t="s">
        <v>2970</v>
      </c>
      <c r="FMV3" t="s">
        <v>2971</v>
      </c>
      <c r="FMW3" t="s">
        <v>2972</v>
      </c>
      <c r="FMX3" t="s">
        <v>2973</v>
      </c>
      <c r="FMY3" t="s">
        <v>2974</v>
      </c>
      <c r="FMZ3" t="s">
        <v>2975</v>
      </c>
      <c r="FNA3" t="s">
        <v>2976</v>
      </c>
      <c r="FNB3" t="s">
        <v>2977</v>
      </c>
      <c r="FNC3" t="s">
        <v>2978</v>
      </c>
      <c r="FND3" t="s">
        <v>2979</v>
      </c>
      <c r="FNE3" t="s">
        <v>2980</v>
      </c>
      <c r="FNF3" t="s">
        <v>2981</v>
      </c>
      <c r="FNG3" t="s">
        <v>2982</v>
      </c>
      <c r="FNH3" t="s">
        <v>2983</v>
      </c>
      <c r="FNI3" t="s">
        <v>2984</v>
      </c>
      <c r="FNJ3" t="s">
        <v>2985</v>
      </c>
      <c r="FNK3" t="s">
        <v>2986</v>
      </c>
      <c r="FNL3" t="s">
        <v>2987</v>
      </c>
      <c r="FNM3" t="s">
        <v>2988</v>
      </c>
      <c r="FNN3" t="s">
        <v>2989</v>
      </c>
      <c r="FNO3" t="s">
        <v>2990</v>
      </c>
      <c r="FNP3" t="s">
        <v>2989</v>
      </c>
      <c r="FNQ3" t="s">
        <v>2991</v>
      </c>
      <c r="FNR3" t="s">
        <v>2992</v>
      </c>
      <c r="FNS3" t="s">
        <v>2993</v>
      </c>
      <c r="FNT3" t="s">
        <v>2994</v>
      </c>
      <c r="FNU3" t="s">
        <v>2995</v>
      </c>
      <c r="FNV3" t="s">
        <v>2993</v>
      </c>
      <c r="FNW3" t="s">
        <v>2994</v>
      </c>
      <c r="FNX3" t="s">
        <v>2996</v>
      </c>
      <c r="FNY3" t="s">
        <v>2997</v>
      </c>
      <c r="FNZ3" t="s">
        <v>2998</v>
      </c>
      <c r="FOA3" t="s">
        <v>292</v>
      </c>
      <c r="FOB3" t="s">
        <v>2999</v>
      </c>
      <c r="FOC3" t="s">
        <v>2998</v>
      </c>
      <c r="FOD3" t="s">
        <v>3000</v>
      </c>
      <c r="FOE3" t="s">
        <v>3001</v>
      </c>
      <c r="FOF3" t="s">
        <v>3002</v>
      </c>
      <c r="FOG3" t="s">
        <v>3003</v>
      </c>
      <c r="FOH3" t="s">
        <v>3004</v>
      </c>
      <c r="FOI3" t="s">
        <v>3005</v>
      </c>
      <c r="FOJ3" t="s">
        <v>3006</v>
      </c>
      <c r="FOK3" t="s">
        <v>3007</v>
      </c>
      <c r="FOL3" t="s">
        <v>3008</v>
      </c>
      <c r="FOM3" t="s">
        <v>3009</v>
      </c>
      <c r="FON3" t="s">
        <v>3010</v>
      </c>
      <c r="FOO3" t="s">
        <v>3011</v>
      </c>
      <c r="FOP3" t="s">
        <v>3012</v>
      </c>
      <c r="FOQ3" t="s">
        <v>3013</v>
      </c>
      <c r="FOR3" t="s">
        <v>3014</v>
      </c>
      <c r="FOS3" t="s">
        <v>3015</v>
      </c>
      <c r="FOT3" t="s">
        <v>3016</v>
      </c>
      <c r="FOU3" t="s">
        <v>3017</v>
      </c>
      <c r="FOV3" t="s">
        <v>3018</v>
      </c>
      <c r="FOW3" t="s">
        <v>3019</v>
      </c>
      <c r="FOX3" t="s">
        <v>3020</v>
      </c>
      <c r="FOY3" t="s">
        <v>3021</v>
      </c>
      <c r="FOZ3" t="s">
        <v>3020</v>
      </c>
      <c r="FPA3" t="s">
        <v>3022</v>
      </c>
      <c r="FPB3" t="s">
        <v>3023</v>
      </c>
      <c r="FPC3" t="s">
        <v>3024</v>
      </c>
      <c r="FPD3" t="s">
        <v>3025</v>
      </c>
      <c r="FPE3" t="s">
        <v>3026</v>
      </c>
      <c r="FPF3" t="s">
        <v>3027</v>
      </c>
      <c r="FPG3" t="s">
        <v>3028</v>
      </c>
      <c r="FPH3" t="s">
        <v>3029</v>
      </c>
      <c r="FPI3" t="s">
        <v>3030</v>
      </c>
      <c r="FPJ3" t="s">
        <v>3031</v>
      </c>
      <c r="FPK3" t="s">
        <v>3032</v>
      </c>
      <c r="FPL3" t="s">
        <v>3033</v>
      </c>
      <c r="FPM3" t="s">
        <v>3034</v>
      </c>
      <c r="FPN3" t="s">
        <v>3035</v>
      </c>
      <c r="FPO3" t="s">
        <v>3036</v>
      </c>
      <c r="FPP3" t="s">
        <v>2972</v>
      </c>
      <c r="FPQ3" t="s">
        <v>3037</v>
      </c>
      <c r="FPR3" t="s">
        <v>3038</v>
      </c>
      <c r="FPS3" t="s">
        <v>3039</v>
      </c>
      <c r="FPT3" t="s">
        <v>3040</v>
      </c>
      <c r="FPU3" t="s">
        <v>44</v>
      </c>
      <c r="FPV3" t="s">
        <v>125</v>
      </c>
      <c r="FPW3" t="s">
        <v>3041</v>
      </c>
      <c r="FPX3" t="s">
        <v>47</v>
      </c>
      <c r="FPY3" t="s">
        <v>1503</v>
      </c>
      <c r="FPZ3" t="s">
        <v>511</v>
      </c>
      <c r="FQA3" t="s">
        <v>48</v>
      </c>
      <c r="FQB3" t="s">
        <v>49</v>
      </c>
      <c r="FQC3" t="s">
        <v>254</v>
      </c>
      <c r="FQD3" t="s">
        <v>3042</v>
      </c>
      <c r="FQE3" t="s">
        <v>3043</v>
      </c>
      <c r="FQF3" t="s">
        <v>3044</v>
      </c>
      <c r="FQG3" t="s">
        <v>3045</v>
      </c>
      <c r="FQH3" t="s">
        <v>3046</v>
      </c>
      <c r="FQI3" t="s">
        <v>3047</v>
      </c>
      <c r="FQJ3" t="s">
        <v>3048</v>
      </c>
      <c r="FQK3" t="s">
        <v>3049</v>
      </c>
      <c r="FQL3" t="s">
        <v>3050</v>
      </c>
      <c r="FQM3" t="s">
        <v>3051</v>
      </c>
      <c r="FQN3" t="s">
        <v>3052</v>
      </c>
      <c r="FQO3" t="s">
        <v>3053</v>
      </c>
      <c r="FQP3" t="s">
        <v>3054</v>
      </c>
      <c r="FQQ3" t="s">
        <v>3055</v>
      </c>
      <c r="FQR3" t="s">
        <v>3056</v>
      </c>
      <c r="FQS3" t="s">
        <v>3057</v>
      </c>
      <c r="FQT3" t="s">
        <v>3058</v>
      </c>
      <c r="FQU3" t="s">
        <v>3059</v>
      </c>
      <c r="FQV3" t="s">
        <v>3060</v>
      </c>
      <c r="FQW3" t="s">
        <v>3061</v>
      </c>
      <c r="FQX3" t="s">
        <v>3062</v>
      </c>
      <c r="FQY3" t="s">
        <v>3063</v>
      </c>
      <c r="FQZ3" t="s">
        <v>3064</v>
      </c>
      <c r="FRA3" t="s">
        <v>3065</v>
      </c>
      <c r="FRB3" t="s">
        <v>3066</v>
      </c>
      <c r="FRC3" t="s">
        <v>254</v>
      </c>
      <c r="FRD3" t="s">
        <v>3067</v>
      </c>
      <c r="FRE3" t="s">
        <v>1882</v>
      </c>
      <c r="FRF3" t="s">
        <v>3068</v>
      </c>
      <c r="FRG3" t="s">
        <v>3069</v>
      </c>
      <c r="FRH3" t="s">
        <v>3070</v>
      </c>
      <c r="FRI3" t="s">
        <v>319</v>
      </c>
      <c r="FRJ3" t="s">
        <v>3071</v>
      </c>
      <c r="FRK3" t="s">
        <v>3072</v>
      </c>
      <c r="FRL3" t="s">
        <v>3073</v>
      </c>
      <c r="FRM3" t="s">
        <v>3074</v>
      </c>
      <c r="FRN3" t="s">
        <v>3075</v>
      </c>
      <c r="FRO3" t="s">
        <v>3076</v>
      </c>
      <c r="FRP3" t="s">
        <v>3077</v>
      </c>
      <c r="FRQ3" t="s">
        <v>3078</v>
      </c>
      <c r="FRR3" t="s">
        <v>3079</v>
      </c>
      <c r="FRS3" t="s">
        <v>3080</v>
      </c>
      <c r="FRT3" t="s">
        <v>3081</v>
      </c>
      <c r="FRU3" t="s">
        <v>3082</v>
      </c>
      <c r="FRV3" t="s">
        <v>3083</v>
      </c>
      <c r="FRW3" t="s">
        <v>3084</v>
      </c>
      <c r="FRX3" t="s">
        <v>3085</v>
      </c>
      <c r="FRY3" t="s">
        <v>3086</v>
      </c>
      <c r="FRZ3" t="s">
        <v>3087</v>
      </c>
      <c r="FSA3" t="s">
        <v>3088</v>
      </c>
      <c r="FSB3" t="s">
        <v>3089</v>
      </c>
      <c r="FSC3" t="s">
        <v>3090</v>
      </c>
      <c r="FSD3" t="s">
        <v>3091</v>
      </c>
      <c r="FSE3" t="s">
        <v>3092</v>
      </c>
      <c r="FSF3" t="s">
        <v>319</v>
      </c>
      <c r="FSG3" t="s">
        <v>3093</v>
      </c>
      <c r="FSH3" t="s">
        <v>2612</v>
      </c>
      <c r="FSI3" t="s">
        <v>2192</v>
      </c>
      <c r="FSJ3" t="s">
        <v>3094</v>
      </c>
      <c r="FSK3" t="s">
        <v>3095</v>
      </c>
      <c r="FSL3" t="s">
        <v>3096</v>
      </c>
      <c r="FSM3" t="s">
        <v>3097</v>
      </c>
      <c r="FSN3" t="s">
        <v>3098</v>
      </c>
      <c r="FSO3" t="s">
        <v>267</v>
      </c>
      <c r="FSP3" t="s">
        <v>3099</v>
      </c>
      <c r="FSQ3" t="s">
        <v>3100</v>
      </c>
      <c r="FSR3" t="s">
        <v>3098</v>
      </c>
      <c r="FSS3" t="s">
        <v>3101</v>
      </c>
      <c r="FST3" t="s">
        <v>3102</v>
      </c>
      <c r="FSU3" t="s">
        <v>3103</v>
      </c>
      <c r="FSV3" t="s">
        <v>3104</v>
      </c>
      <c r="FSW3" t="s">
        <v>3105</v>
      </c>
      <c r="FSX3" t="s">
        <v>3106</v>
      </c>
      <c r="FSY3" t="s">
        <v>44</v>
      </c>
      <c r="FSZ3" t="s">
        <v>3107</v>
      </c>
      <c r="FTA3" t="s">
        <v>3108</v>
      </c>
      <c r="FTB3">
        <v>0</v>
      </c>
      <c r="FTC3" t="s">
        <v>3109</v>
      </c>
      <c r="FTD3" t="s">
        <v>1411</v>
      </c>
      <c r="FTE3" t="s">
        <v>3110</v>
      </c>
      <c r="FTF3" t="s">
        <v>3111</v>
      </c>
      <c r="FTG3" t="s">
        <v>1411</v>
      </c>
      <c r="FTH3" t="s">
        <v>3112</v>
      </c>
      <c r="FTI3" t="s">
        <v>3113</v>
      </c>
      <c r="FTJ3" t="s">
        <v>3114</v>
      </c>
      <c r="FTK3" t="s">
        <v>3115</v>
      </c>
      <c r="FTL3" t="s">
        <v>3116</v>
      </c>
      <c r="FTM3" t="s">
        <v>44</v>
      </c>
      <c r="FTN3" t="s">
        <v>125</v>
      </c>
      <c r="FTO3" t="s">
        <v>47</v>
      </c>
      <c r="FTP3" t="s">
        <v>3117</v>
      </c>
      <c r="FTQ3" t="s">
        <v>3118</v>
      </c>
      <c r="FTR3" t="s">
        <v>3119</v>
      </c>
      <c r="FTS3" t="s">
        <v>3120</v>
      </c>
      <c r="FTT3" t="s">
        <v>3121</v>
      </c>
      <c r="FTU3" t="s">
        <v>3122</v>
      </c>
      <c r="FTV3" t="s">
        <v>3123</v>
      </c>
      <c r="FTW3" t="s">
        <v>3124</v>
      </c>
      <c r="FTX3" t="s">
        <v>3125</v>
      </c>
      <c r="FTY3" t="s">
        <v>3126</v>
      </c>
      <c r="FTZ3" t="s">
        <v>3127</v>
      </c>
      <c r="FUA3" t="s">
        <v>513</v>
      </c>
      <c r="FUB3" t="s">
        <v>3128</v>
      </c>
      <c r="FUC3" t="s">
        <v>513</v>
      </c>
      <c r="FUD3" t="s">
        <v>3129</v>
      </c>
      <c r="FUE3" t="s">
        <v>515</v>
      </c>
      <c r="FUF3" t="s">
        <v>3130</v>
      </c>
      <c r="FUG3" t="s">
        <v>515</v>
      </c>
      <c r="FUH3" t="s">
        <v>3131</v>
      </c>
      <c r="FUI3" t="s">
        <v>3132</v>
      </c>
      <c r="FUJ3" t="s">
        <v>3133</v>
      </c>
      <c r="FUK3" t="s">
        <v>3134</v>
      </c>
      <c r="FUL3" t="s">
        <v>3135</v>
      </c>
      <c r="FUM3" t="s">
        <v>3136</v>
      </c>
      <c r="FUN3" t="s">
        <v>3137</v>
      </c>
      <c r="FUO3" t="s">
        <v>3138</v>
      </c>
      <c r="FUP3" t="s">
        <v>3139</v>
      </c>
      <c r="FUQ3" t="s">
        <v>3140</v>
      </c>
      <c r="FUR3" t="s">
        <v>3141</v>
      </c>
      <c r="FUS3" t="s">
        <v>3142</v>
      </c>
      <c r="FUT3" t="s">
        <v>3143</v>
      </c>
      <c r="FUU3" t="s">
        <v>3144</v>
      </c>
      <c r="FUV3" t="s">
        <v>3145</v>
      </c>
      <c r="FUW3" t="s">
        <v>3146</v>
      </c>
      <c r="FUX3" t="s">
        <v>3147</v>
      </c>
      <c r="FUY3" t="s">
        <v>3148</v>
      </c>
      <c r="FUZ3" t="s">
        <v>3149</v>
      </c>
      <c r="FVA3" t="s">
        <v>3150</v>
      </c>
      <c r="FVB3" t="s">
        <v>3151</v>
      </c>
      <c r="FVC3" t="s">
        <v>3152</v>
      </c>
      <c r="FVD3" t="s">
        <v>3153</v>
      </c>
      <c r="FVE3" t="s">
        <v>3154</v>
      </c>
      <c r="FVF3" t="s">
        <v>3155</v>
      </c>
      <c r="FVG3" t="s">
        <v>3156</v>
      </c>
      <c r="FVH3" t="s">
        <v>3157</v>
      </c>
      <c r="FVI3" t="s">
        <v>3158</v>
      </c>
      <c r="FVJ3" t="s">
        <v>3159</v>
      </c>
      <c r="FVK3" t="s">
        <v>3160</v>
      </c>
      <c r="FVL3" t="s">
        <v>3161</v>
      </c>
      <c r="FVM3" t="s">
        <v>3162</v>
      </c>
      <c r="FVN3" t="s">
        <v>3163</v>
      </c>
      <c r="FVO3" t="s">
        <v>3164</v>
      </c>
      <c r="FVP3" t="s">
        <v>3165</v>
      </c>
      <c r="FVQ3" t="s">
        <v>3166</v>
      </c>
      <c r="FVR3" t="s">
        <v>3167</v>
      </c>
      <c r="FVS3" t="s">
        <v>3168</v>
      </c>
      <c r="FVT3" t="s">
        <v>3169</v>
      </c>
      <c r="FVU3" t="s">
        <v>3170</v>
      </c>
      <c r="FVV3" t="s">
        <v>3171</v>
      </c>
      <c r="FVW3" t="s">
        <v>3172</v>
      </c>
      <c r="FVX3" t="s">
        <v>3173</v>
      </c>
      <c r="FVY3" t="s">
        <v>3174</v>
      </c>
      <c r="FVZ3" t="s">
        <v>3175</v>
      </c>
      <c r="FWA3" t="s">
        <v>3176</v>
      </c>
      <c r="FWB3" t="s">
        <v>3177</v>
      </c>
      <c r="FWC3" t="s">
        <v>3178</v>
      </c>
      <c r="FWD3" t="s">
        <v>3179</v>
      </c>
      <c r="FWE3" t="s">
        <v>3180</v>
      </c>
      <c r="FWF3" t="s">
        <v>3181</v>
      </c>
      <c r="FWG3" t="s">
        <v>1685</v>
      </c>
      <c r="FWH3" t="s">
        <v>3182</v>
      </c>
      <c r="FWI3" t="s">
        <v>3183</v>
      </c>
      <c r="FWJ3" t="s">
        <v>3184</v>
      </c>
      <c r="FWK3" t="s">
        <v>3185</v>
      </c>
      <c r="FWL3" t="s">
        <v>3186</v>
      </c>
      <c r="FWM3" t="s">
        <v>3187</v>
      </c>
      <c r="FWN3" t="s">
        <v>3188</v>
      </c>
      <c r="FWO3" t="s">
        <v>3189</v>
      </c>
      <c r="FWP3" t="s">
        <v>3190</v>
      </c>
      <c r="FWQ3" t="s">
        <v>3191</v>
      </c>
      <c r="FWR3" t="s">
        <v>3192</v>
      </c>
      <c r="FWS3" t="s">
        <v>3193</v>
      </c>
      <c r="FWT3" t="s">
        <v>3194</v>
      </c>
      <c r="FWU3" t="s">
        <v>3195</v>
      </c>
      <c r="FWV3" t="s">
        <v>3196</v>
      </c>
      <c r="FWW3" t="s">
        <v>3197</v>
      </c>
      <c r="FWX3" t="s">
        <v>3198</v>
      </c>
      <c r="FWY3" t="s">
        <v>3199</v>
      </c>
      <c r="FWZ3" t="s">
        <v>3200</v>
      </c>
      <c r="FXA3" t="s">
        <v>3201</v>
      </c>
      <c r="FXB3" t="s">
        <v>3202</v>
      </c>
      <c r="FXC3" t="s">
        <v>3203</v>
      </c>
      <c r="FXD3" t="s">
        <v>3204</v>
      </c>
      <c r="FXE3" t="s">
        <v>3205</v>
      </c>
      <c r="FXF3" t="s">
        <v>3206</v>
      </c>
      <c r="FXG3" t="s">
        <v>3207</v>
      </c>
      <c r="FXH3" t="s">
        <v>3208</v>
      </c>
      <c r="FXI3" t="s">
        <v>3209</v>
      </c>
      <c r="FXJ3" t="s">
        <v>3210</v>
      </c>
      <c r="FXK3" t="s">
        <v>2122</v>
      </c>
      <c r="FXL3" t="s">
        <v>3211</v>
      </c>
      <c r="FXM3" t="s">
        <v>3212</v>
      </c>
      <c r="FXN3" t="s">
        <v>388</v>
      </c>
      <c r="FXO3" t="s">
        <v>3213</v>
      </c>
      <c r="FXP3" t="s">
        <v>3214</v>
      </c>
      <c r="FXQ3" t="s">
        <v>3215</v>
      </c>
      <c r="FXR3" t="s">
        <v>3216</v>
      </c>
      <c r="FXS3" t="s">
        <v>3217</v>
      </c>
      <c r="FXT3" t="s">
        <v>2030</v>
      </c>
      <c r="FXU3" t="s">
        <v>3218</v>
      </c>
      <c r="FXV3" t="s">
        <v>3219</v>
      </c>
      <c r="FXW3" t="s">
        <v>3220</v>
      </c>
      <c r="FXX3" t="s">
        <v>3221</v>
      </c>
      <c r="FXY3" t="s">
        <v>3218</v>
      </c>
      <c r="FXZ3" t="s">
        <v>3222</v>
      </c>
      <c r="FYA3" t="s">
        <v>3223</v>
      </c>
      <c r="FYB3" t="s">
        <v>3224</v>
      </c>
      <c r="FYC3" t="s">
        <v>3225</v>
      </c>
      <c r="FYD3" t="s">
        <v>3226</v>
      </c>
      <c r="FYE3" t="s">
        <v>3227</v>
      </c>
      <c r="FYF3" t="s">
        <v>3228</v>
      </c>
      <c r="FYG3" t="s">
        <v>3229</v>
      </c>
      <c r="FYH3" t="s">
        <v>3230</v>
      </c>
      <c r="FYI3" t="s">
        <v>3231</v>
      </c>
      <c r="FYJ3" t="s">
        <v>3232</v>
      </c>
      <c r="FYK3" t="s">
        <v>3233</v>
      </c>
      <c r="FYL3" t="s">
        <v>3234</v>
      </c>
      <c r="FYM3" t="s">
        <v>3235</v>
      </c>
      <c r="FYN3" t="s">
        <v>3236</v>
      </c>
      <c r="FYO3" t="s">
        <v>3237</v>
      </c>
      <c r="FYP3" t="s">
        <v>3238</v>
      </c>
      <c r="FYQ3" t="s">
        <v>3239</v>
      </c>
      <c r="FYR3">
        <v>0</v>
      </c>
      <c r="FYS3" t="s">
        <v>3240</v>
      </c>
      <c r="FYT3" t="s">
        <v>1336</v>
      </c>
      <c r="FYU3" t="s">
        <v>536</v>
      </c>
      <c r="FYV3" t="s">
        <v>3241</v>
      </c>
      <c r="FYW3" t="s">
        <v>266</v>
      </c>
      <c r="FYX3" t="s">
        <v>3242</v>
      </c>
      <c r="FYY3" t="s">
        <v>3243</v>
      </c>
      <c r="FYZ3" t="s">
        <v>3244</v>
      </c>
      <c r="FZA3">
        <v>0</v>
      </c>
      <c r="FZB3" t="s">
        <v>3245</v>
      </c>
      <c r="FZC3" t="s">
        <v>3246</v>
      </c>
      <c r="FZD3" t="s">
        <v>3247</v>
      </c>
      <c r="FZE3" t="s">
        <v>3248</v>
      </c>
      <c r="FZF3" t="s">
        <v>3249</v>
      </c>
      <c r="FZG3" t="s">
        <v>3250</v>
      </c>
      <c r="FZH3" t="s">
        <v>3251</v>
      </c>
      <c r="FZI3" t="s">
        <v>3252</v>
      </c>
      <c r="FZJ3" t="s">
        <v>3253</v>
      </c>
      <c r="FZK3" t="s">
        <v>3254</v>
      </c>
      <c r="FZL3" t="s">
        <v>3255</v>
      </c>
      <c r="FZM3" t="s">
        <v>3256</v>
      </c>
      <c r="FZN3" t="s">
        <v>3257</v>
      </c>
      <c r="FZO3" t="s">
        <v>3258</v>
      </c>
      <c r="FZP3" t="s">
        <v>3259</v>
      </c>
      <c r="FZQ3" t="s">
        <v>3260</v>
      </c>
      <c r="FZR3" t="s">
        <v>3261</v>
      </c>
      <c r="FZS3" t="s">
        <v>3262</v>
      </c>
      <c r="FZT3" t="s">
        <v>3263</v>
      </c>
      <c r="FZU3" t="s">
        <v>3264</v>
      </c>
      <c r="FZV3" t="s">
        <v>3265</v>
      </c>
      <c r="FZW3" t="s">
        <v>3266</v>
      </c>
      <c r="FZX3" t="s">
        <v>3267</v>
      </c>
      <c r="FZY3" t="s">
        <v>3268</v>
      </c>
      <c r="FZZ3" t="s">
        <v>3269</v>
      </c>
      <c r="GAA3" t="s">
        <v>3249</v>
      </c>
      <c r="GAB3" t="s">
        <v>2033</v>
      </c>
      <c r="GAC3" t="s">
        <v>3270</v>
      </c>
      <c r="GAD3" t="s">
        <v>3271</v>
      </c>
      <c r="GAE3" t="s">
        <v>3272</v>
      </c>
      <c r="GAF3" t="s">
        <v>3273</v>
      </c>
      <c r="GAG3" t="s">
        <v>3274</v>
      </c>
      <c r="GAH3" t="s">
        <v>3275</v>
      </c>
      <c r="GAI3" t="s">
        <v>3276</v>
      </c>
      <c r="GAJ3" t="s">
        <v>3277</v>
      </c>
      <c r="GAK3" t="s">
        <v>3278</v>
      </c>
      <c r="GAL3" t="s">
        <v>3279</v>
      </c>
      <c r="GAM3" t="s">
        <v>3280</v>
      </c>
      <c r="GAN3" t="s">
        <v>3281</v>
      </c>
      <c r="GAO3" t="s">
        <v>3282</v>
      </c>
      <c r="GAP3" t="s">
        <v>3283</v>
      </c>
      <c r="GAQ3" t="s">
        <v>3284</v>
      </c>
      <c r="GAR3" t="s">
        <v>3285</v>
      </c>
      <c r="GAS3" t="s">
        <v>3286</v>
      </c>
      <c r="GAT3" t="s">
        <v>3287</v>
      </c>
      <c r="GAU3" t="s">
        <v>3288</v>
      </c>
      <c r="GAV3" t="s">
        <v>3289</v>
      </c>
      <c r="GAW3" t="s">
        <v>3281</v>
      </c>
      <c r="GAX3" t="s">
        <v>3290</v>
      </c>
      <c r="GAY3" t="s">
        <v>3291</v>
      </c>
      <c r="GAZ3" t="s">
        <v>3292</v>
      </c>
      <c r="GBA3" t="s">
        <v>3293</v>
      </c>
      <c r="GBB3" t="s">
        <v>3294</v>
      </c>
      <c r="GBC3" t="s">
        <v>3295</v>
      </c>
      <c r="GBD3" t="s">
        <v>3296</v>
      </c>
      <c r="GBE3" t="s">
        <v>3297</v>
      </c>
      <c r="GBF3" t="s">
        <v>3298</v>
      </c>
      <c r="GBG3" t="s">
        <v>3299</v>
      </c>
      <c r="GBH3" t="s">
        <v>3300</v>
      </c>
      <c r="GBI3" t="s">
        <v>3301</v>
      </c>
      <c r="GBJ3" t="s">
        <v>3302</v>
      </c>
      <c r="GBK3" t="s">
        <v>3303</v>
      </c>
      <c r="GBL3" t="s">
        <v>3304</v>
      </c>
      <c r="GBM3" t="s">
        <v>3305</v>
      </c>
      <c r="GBN3" t="s">
        <v>3306</v>
      </c>
      <c r="GBO3" t="s">
        <v>3307</v>
      </c>
      <c r="GBP3" t="s">
        <v>3308</v>
      </c>
      <c r="GBQ3" t="s">
        <v>3309</v>
      </c>
      <c r="GBR3" t="s">
        <v>3310</v>
      </c>
      <c r="GBS3" t="s">
        <v>3311</v>
      </c>
      <c r="GBT3" t="s">
        <v>3312</v>
      </c>
      <c r="GBU3" t="s">
        <v>2859</v>
      </c>
      <c r="GBV3" t="s">
        <v>3313</v>
      </c>
      <c r="GBW3" t="s">
        <v>1526</v>
      </c>
      <c r="GBX3" t="s">
        <v>47</v>
      </c>
      <c r="GBY3" t="s">
        <v>46</v>
      </c>
      <c r="GBZ3" t="s">
        <v>3314</v>
      </c>
      <c r="GCA3" t="s">
        <v>3315</v>
      </c>
      <c r="GCB3" t="s">
        <v>3316</v>
      </c>
      <c r="GCC3" t="s">
        <v>3317</v>
      </c>
      <c r="GCD3" t="s">
        <v>3318</v>
      </c>
      <c r="GCE3" t="s">
        <v>3319</v>
      </c>
      <c r="GCF3" t="s">
        <v>3320</v>
      </c>
      <c r="GCG3" t="s">
        <v>3321</v>
      </c>
      <c r="GCH3" t="s">
        <v>3322</v>
      </c>
      <c r="GCI3" t="s">
        <v>3323</v>
      </c>
      <c r="GCJ3" t="s">
        <v>3324</v>
      </c>
      <c r="GCK3" t="s">
        <v>3325</v>
      </c>
      <c r="GCL3" t="s">
        <v>3326</v>
      </c>
      <c r="GCM3" t="s">
        <v>3327</v>
      </c>
      <c r="GCN3" t="s">
        <v>3328</v>
      </c>
      <c r="GCO3" t="s">
        <v>3329</v>
      </c>
      <c r="GCP3" t="s">
        <v>3330</v>
      </c>
      <c r="GCQ3" t="s">
        <v>3331</v>
      </c>
      <c r="GCR3" t="s">
        <v>2867</v>
      </c>
      <c r="GCS3" t="s">
        <v>2868</v>
      </c>
      <c r="GCT3" t="s">
        <v>2869</v>
      </c>
      <c r="GCU3" t="s">
        <v>3332</v>
      </c>
      <c r="GCV3" t="s">
        <v>3333</v>
      </c>
      <c r="GCW3" t="s">
        <v>3334</v>
      </c>
      <c r="GCX3" t="s">
        <v>3335</v>
      </c>
      <c r="GCY3" t="s">
        <v>3336</v>
      </c>
      <c r="GCZ3" t="s">
        <v>3337</v>
      </c>
      <c r="GDA3" t="s">
        <v>3338</v>
      </c>
      <c r="GDB3" t="s">
        <v>3339</v>
      </c>
      <c r="GDC3" t="s">
        <v>3340</v>
      </c>
      <c r="GDD3" t="s">
        <v>3341</v>
      </c>
      <c r="GDE3" t="s">
        <v>3342</v>
      </c>
      <c r="GDF3" t="s">
        <v>3343</v>
      </c>
      <c r="GDG3" t="s">
        <v>3344</v>
      </c>
      <c r="GDH3" t="s">
        <v>3345</v>
      </c>
      <c r="GDI3" t="s">
        <v>3346</v>
      </c>
      <c r="GDJ3" t="s">
        <v>3347</v>
      </c>
      <c r="GDK3" t="s">
        <v>3348</v>
      </c>
      <c r="GDL3" t="s">
        <v>3349</v>
      </c>
      <c r="GDM3" t="s">
        <v>3350</v>
      </c>
      <c r="GDN3" t="s">
        <v>3351</v>
      </c>
      <c r="GDO3" t="s">
        <v>3352</v>
      </c>
      <c r="GDP3" t="s">
        <v>3353</v>
      </c>
      <c r="GDQ3" t="s">
        <v>3354</v>
      </c>
      <c r="GDR3" t="s">
        <v>3355</v>
      </c>
      <c r="GDS3" t="s">
        <v>3356</v>
      </c>
      <c r="GDT3" t="s">
        <v>3357</v>
      </c>
      <c r="GDU3" t="s">
        <v>3358</v>
      </c>
      <c r="GDV3" t="s">
        <v>3359</v>
      </c>
      <c r="GDW3" t="s">
        <v>3360</v>
      </c>
      <c r="GDX3" t="s">
        <v>3361</v>
      </c>
      <c r="GDY3" t="s">
        <v>3362</v>
      </c>
      <c r="GDZ3" t="s">
        <v>3363</v>
      </c>
      <c r="GEA3" t="s">
        <v>3364</v>
      </c>
      <c r="GEB3" t="s">
        <v>3365</v>
      </c>
      <c r="GEC3" t="s">
        <v>3366</v>
      </c>
      <c r="GED3" t="s">
        <v>3367</v>
      </c>
      <c r="GEE3" t="s">
        <v>3368</v>
      </c>
      <c r="GEF3" t="s">
        <v>3369</v>
      </c>
      <c r="GEG3" t="s">
        <v>3370</v>
      </c>
      <c r="GEH3" t="s">
        <v>3371</v>
      </c>
      <c r="GEI3" t="s">
        <v>3372</v>
      </c>
      <c r="GEJ3" t="s">
        <v>388</v>
      </c>
      <c r="GEK3" t="s">
        <v>3373</v>
      </c>
      <c r="GEL3" t="s">
        <v>3374</v>
      </c>
      <c r="GEM3" t="s">
        <v>3375</v>
      </c>
      <c r="GEN3" t="s">
        <v>3376</v>
      </c>
      <c r="GEO3" t="s">
        <v>3377</v>
      </c>
      <c r="GEP3" t="s">
        <v>3378</v>
      </c>
      <c r="GEQ3" t="s">
        <v>3379</v>
      </c>
      <c r="GER3" t="s">
        <v>3380</v>
      </c>
      <c r="GES3" t="s">
        <v>3381</v>
      </c>
      <c r="GET3" t="s">
        <v>3382</v>
      </c>
      <c r="GEU3" t="s">
        <v>3383</v>
      </c>
      <c r="GEV3" t="s">
        <v>3384</v>
      </c>
      <c r="GEW3" t="s">
        <v>3385</v>
      </c>
      <c r="GEX3" t="s">
        <v>3386</v>
      </c>
      <c r="GEY3" t="s">
        <v>598</v>
      </c>
      <c r="GEZ3" t="s">
        <v>3387</v>
      </c>
      <c r="GFA3" t="s">
        <v>3388</v>
      </c>
      <c r="GFB3" t="s">
        <v>3389</v>
      </c>
      <c r="GFC3" t="s">
        <v>3390</v>
      </c>
      <c r="GFD3" t="s">
        <v>3389</v>
      </c>
      <c r="GFE3" t="s">
        <v>3391</v>
      </c>
      <c r="GFF3" t="s">
        <v>3392</v>
      </c>
      <c r="GFG3" t="s">
        <v>3280</v>
      </c>
      <c r="GFH3" t="s">
        <v>47</v>
      </c>
      <c r="GFI3" t="s">
        <v>46</v>
      </c>
      <c r="GFJ3" t="s">
        <v>3393</v>
      </c>
      <c r="GFK3" t="s">
        <v>1882</v>
      </c>
      <c r="GFL3" t="s">
        <v>3394</v>
      </c>
      <c r="GFM3" t="s">
        <v>3395</v>
      </c>
      <c r="GFN3" t="s">
        <v>3396</v>
      </c>
      <c r="GFO3" t="s">
        <v>3397</v>
      </c>
      <c r="GFP3" t="s">
        <v>3398</v>
      </c>
      <c r="GFQ3" t="s">
        <v>3399</v>
      </c>
      <c r="GFR3" t="s">
        <v>3400</v>
      </c>
      <c r="GFS3" t="s">
        <v>3401</v>
      </c>
      <c r="GFT3" t="s">
        <v>3402</v>
      </c>
      <c r="GFU3" t="s">
        <v>3403</v>
      </c>
      <c r="GFV3" t="s">
        <v>3404</v>
      </c>
      <c r="GFW3" t="s">
        <v>3405</v>
      </c>
      <c r="GFX3" t="s">
        <v>3406</v>
      </c>
      <c r="GFY3">
        <v>0</v>
      </c>
      <c r="GFZ3" t="s">
        <v>3240</v>
      </c>
      <c r="GGA3" t="s">
        <v>1336</v>
      </c>
      <c r="GGB3" t="s">
        <v>3407</v>
      </c>
      <c r="GGC3" t="s">
        <v>3408</v>
      </c>
      <c r="GGD3" t="s">
        <v>3409</v>
      </c>
      <c r="GGE3" t="s">
        <v>3397</v>
      </c>
      <c r="GGF3" t="s">
        <v>3398</v>
      </c>
      <c r="GGG3" t="s">
        <v>3410</v>
      </c>
      <c r="GGH3" t="s">
        <v>3400</v>
      </c>
      <c r="GGI3" t="s">
        <v>3401</v>
      </c>
      <c r="GGJ3" t="s">
        <v>3402</v>
      </c>
      <c r="GGK3" t="s">
        <v>3403</v>
      </c>
      <c r="GGL3" t="s">
        <v>3404</v>
      </c>
      <c r="GGM3" t="s">
        <v>3411</v>
      </c>
      <c r="GGN3" t="s">
        <v>3406</v>
      </c>
      <c r="GGO3">
        <v>0</v>
      </c>
      <c r="GGP3" t="s">
        <v>3240</v>
      </c>
      <c r="GGQ3" t="s">
        <v>3412</v>
      </c>
      <c r="GGR3" t="s">
        <v>3413</v>
      </c>
      <c r="GGS3" t="s">
        <v>3414</v>
      </c>
      <c r="GGT3" t="s">
        <v>3415</v>
      </c>
      <c r="GGU3" t="s">
        <v>3416</v>
      </c>
      <c r="GGV3" t="s">
        <v>3417</v>
      </c>
      <c r="GGW3" t="s">
        <v>3418</v>
      </c>
      <c r="GGX3" t="s">
        <v>3419</v>
      </c>
      <c r="GGY3" t="s">
        <v>3420</v>
      </c>
      <c r="GGZ3" t="s">
        <v>3421</v>
      </c>
      <c r="GHA3" t="s">
        <v>3422</v>
      </c>
      <c r="GHB3" t="s">
        <v>3423</v>
      </c>
      <c r="GHC3" t="s">
        <v>3424</v>
      </c>
      <c r="GHD3" t="s">
        <v>3425</v>
      </c>
      <c r="GHE3" t="s">
        <v>3426</v>
      </c>
      <c r="GHF3" t="s">
        <v>3427</v>
      </c>
      <c r="GHG3" t="s">
        <v>3428</v>
      </c>
      <c r="GHH3" t="s">
        <v>3429</v>
      </c>
      <c r="GHI3" t="s">
        <v>3430</v>
      </c>
      <c r="GHJ3" t="s">
        <v>2125</v>
      </c>
      <c r="GHK3" t="s">
        <v>3431</v>
      </c>
      <c r="GHL3" t="s">
        <v>3432</v>
      </c>
      <c r="GHM3" t="s">
        <v>3433</v>
      </c>
      <c r="GHN3" t="s">
        <v>3434</v>
      </c>
      <c r="GHO3" t="s">
        <v>3435</v>
      </c>
      <c r="GHP3" t="s">
        <v>3436</v>
      </c>
      <c r="GHQ3" t="s">
        <v>3437</v>
      </c>
      <c r="GHR3" t="s">
        <v>3438</v>
      </c>
      <c r="GHS3" t="s">
        <v>3439</v>
      </c>
      <c r="GHT3" t="s">
        <v>3440</v>
      </c>
      <c r="GHU3" t="s">
        <v>3441</v>
      </c>
      <c r="GHV3" t="s">
        <v>3442</v>
      </c>
      <c r="GHW3" t="s">
        <v>3443</v>
      </c>
      <c r="GHX3" t="s">
        <v>3444</v>
      </c>
      <c r="GHY3" t="s">
        <v>3445</v>
      </c>
      <c r="GHZ3" t="s">
        <v>3446</v>
      </c>
      <c r="GIA3" t="s">
        <v>3447</v>
      </c>
      <c r="GIB3" t="s">
        <v>3446</v>
      </c>
      <c r="GIC3" t="s">
        <v>3448</v>
      </c>
      <c r="GID3" t="s">
        <v>3449</v>
      </c>
      <c r="GIE3" t="s">
        <v>3450</v>
      </c>
      <c r="GIF3" t="s">
        <v>3451</v>
      </c>
      <c r="GIG3" t="s">
        <v>3452</v>
      </c>
      <c r="GIH3" t="s">
        <v>44</v>
      </c>
      <c r="GII3" t="s">
        <v>125</v>
      </c>
      <c r="GIJ3" t="s">
        <v>126</v>
      </c>
      <c r="GIK3" t="s">
        <v>46</v>
      </c>
      <c r="GIL3" t="s">
        <v>3453</v>
      </c>
      <c r="GIM3" t="s">
        <v>3454</v>
      </c>
      <c r="GIN3" t="s">
        <v>3455</v>
      </c>
      <c r="GIO3" t="s">
        <v>3456</v>
      </c>
      <c r="GIP3" t="s">
        <v>3457</v>
      </c>
      <c r="GIQ3" t="s">
        <v>3458</v>
      </c>
      <c r="GIR3" t="s">
        <v>3459</v>
      </c>
      <c r="GIS3" t="s">
        <v>3460</v>
      </c>
      <c r="GIT3" t="s">
        <v>3461</v>
      </c>
      <c r="GIU3" t="s">
        <v>3462</v>
      </c>
      <c r="GIV3" t="s">
        <v>3463</v>
      </c>
      <c r="GIW3" t="s">
        <v>3464</v>
      </c>
      <c r="GIX3" t="s">
        <v>3465</v>
      </c>
      <c r="GIY3" t="s">
        <v>3466</v>
      </c>
      <c r="GIZ3" t="s">
        <v>3467</v>
      </c>
      <c r="GJA3" t="s">
        <v>3468</v>
      </c>
      <c r="GJB3" t="s">
        <v>310</v>
      </c>
      <c r="GJC3" t="s">
        <v>3469</v>
      </c>
      <c r="GJD3" t="s">
        <v>3470</v>
      </c>
      <c r="GJE3" t="s">
        <v>3471</v>
      </c>
      <c r="GJF3" t="s">
        <v>3472</v>
      </c>
      <c r="GJG3" t="s">
        <v>3473</v>
      </c>
      <c r="GJH3" t="s">
        <v>3474</v>
      </c>
      <c r="GJI3" t="s">
        <v>3475</v>
      </c>
      <c r="GJJ3" t="s">
        <v>3476</v>
      </c>
      <c r="GJK3" t="s">
        <v>3477</v>
      </c>
      <c r="GJL3" t="s">
        <v>3478</v>
      </c>
      <c r="GJM3" t="s">
        <v>3479</v>
      </c>
      <c r="GJN3" t="s">
        <v>3480</v>
      </c>
      <c r="GJO3" t="s">
        <v>3481</v>
      </c>
      <c r="GJP3" t="s">
        <v>44</v>
      </c>
      <c r="GJQ3" t="s">
        <v>125</v>
      </c>
      <c r="GJR3" t="s">
        <v>3482</v>
      </c>
      <c r="GJS3" t="s">
        <v>3483</v>
      </c>
      <c r="GJT3" t="s">
        <v>511</v>
      </c>
      <c r="GJU3" t="s">
        <v>48</v>
      </c>
      <c r="GJV3" t="s">
        <v>49</v>
      </c>
      <c r="GJW3" t="s">
        <v>3484</v>
      </c>
      <c r="GJX3" t="s">
        <v>3485</v>
      </c>
      <c r="GJY3" t="s">
        <v>3486</v>
      </c>
      <c r="GJZ3" t="s">
        <v>3487</v>
      </c>
      <c r="GKA3" t="s">
        <v>1893</v>
      </c>
      <c r="GKB3" t="s">
        <v>3488</v>
      </c>
      <c r="GKC3" t="s">
        <v>3489</v>
      </c>
      <c r="GKD3" t="s">
        <v>3490</v>
      </c>
      <c r="GKE3" t="s">
        <v>3491</v>
      </c>
      <c r="GKF3" t="s">
        <v>3492</v>
      </c>
      <c r="GKG3" t="s">
        <v>3493</v>
      </c>
      <c r="GKH3" t="s">
        <v>3494</v>
      </c>
      <c r="GKI3" t="s">
        <v>1882</v>
      </c>
      <c r="GKJ3" t="s">
        <v>3495</v>
      </c>
      <c r="GKK3" t="s">
        <v>3496</v>
      </c>
      <c r="GKL3" t="s">
        <v>3497</v>
      </c>
      <c r="GKM3" t="s">
        <v>3498</v>
      </c>
      <c r="GKN3" t="s">
        <v>3499</v>
      </c>
      <c r="GKO3" t="s">
        <v>3500</v>
      </c>
      <c r="GKP3" t="s">
        <v>3501</v>
      </c>
      <c r="GKQ3" t="s">
        <v>3502</v>
      </c>
      <c r="GKR3" t="s">
        <v>3503</v>
      </c>
      <c r="GKS3" t="s">
        <v>3504</v>
      </c>
      <c r="GKT3" t="s">
        <v>3505</v>
      </c>
      <c r="GKU3" t="s">
        <v>3506</v>
      </c>
      <c r="GKV3" t="s">
        <v>3507</v>
      </c>
      <c r="GKW3" t="s">
        <v>3508</v>
      </c>
      <c r="GKX3" t="s">
        <v>3509</v>
      </c>
      <c r="GKY3" t="s">
        <v>3510</v>
      </c>
      <c r="GKZ3" t="s">
        <v>3511</v>
      </c>
      <c r="GLA3" t="s">
        <v>3512</v>
      </c>
      <c r="GLB3" t="s">
        <v>3513</v>
      </c>
      <c r="GLC3" t="s">
        <v>3514</v>
      </c>
      <c r="GLD3" t="s">
        <v>3515</v>
      </c>
      <c r="GLE3" t="s">
        <v>3516</v>
      </c>
      <c r="GLF3" t="s">
        <v>3517</v>
      </c>
      <c r="GLG3" t="s">
        <v>3518</v>
      </c>
      <c r="GLH3" t="s">
        <v>3519</v>
      </c>
      <c r="GLI3" t="s">
        <v>3520</v>
      </c>
      <c r="GLJ3" t="s">
        <v>3521</v>
      </c>
      <c r="GLK3" t="s">
        <v>3522</v>
      </c>
      <c r="GLL3" t="s">
        <v>3523</v>
      </c>
      <c r="GLM3" t="s">
        <v>125</v>
      </c>
      <c r="GLN3" t="s">
        <v>3524</v>
      </c>
      <c r="GLO3" t="s">
        <v>126</v>
      </c>
      <c r="GLP3" t="s">
        <v>3218</v>
      </c>
      <c r="GLQ3" t="s">
        <v>3525</v>
      </c>
      <c r="GLR3" t="s">
        <v>3526</v>
      </c>
      <c r="GLS3" t="s">
        <v>126</v>
      </c>
      <c r="GLT3" t="s">
        <v>255</v>
      </c>
      <c r="GLU3" t="s">
        <v>3527</v>
      </c>
      <c r="GLV3" t="s">
        <v>125</v>
      </c>
      <c r="GLW3" t="s">
        <v>3528</v>
      </c>
      <c r="GLX3" t="s">
        <v>3529</v>
      </c>
      <c r="GLY3" t="s">
        <v>2683</v>
      </c>
      <c r="GLZ3" t="s">
        <v>3530</v>
      </c>
      <c r="GMA3" t="s">
        <v>3531</v>
      </c>
      <c r="GMB3" t="s">
        <v>3532</v>
      </c>
      <c r="GMC3" t="s">
        <v>3533</v>
      </c>
      <c r="GMD3" t="s">
        <v>3534</v>
      </c>
      <c r="GME3" t="s">
        <v>3535</v>
      </c>
      <c r="GMF3" t="s">
        <v>3536</v>
      </c>
      <c r="GMG3" t="s">
        <v>3537</v>
      </c>
      <c r="GMH3" t="s">
        <v>3538</v>
      </c>
      <c r="GMI3" t="s">
        <v>3539</v>
      </c>
      <c r="GMJ3" t="s">
        <v>3540</v>
      </c>
      <c r="GMK3" t="s">
        <v>3541</v>
      </c>
      <c r="GML3" t="s">
        <v>3542</v>
      </c>
      <c r="GMM3" t="s">
        <v>3543</v>
      </c>
      <c r="GMN3" t="s">
        <v>3544</v>
      </c>
      <c r="GMO3" t="s">
        <v>3545</v>
      </c>
      <c r="GMP3" t="s">
        <v>3546</v>
      </c>
      <c r="GMQ3" t="s">
        <v>3547</v>
      </c>
      <c r="GMR3" t="s">
        <v>3548</v>
      </c>
      <c r="GMS3" t="s">
        <v>3549</v>
      </c>
      <c r="GMT3" t="s">
        <v>3550</v>
      </c>
      <c r="GMU3" t="s">
        <v>3551</v>
      </c>
      <c r="GMV3" t="s">
        <v>3552</v>
      </c>
      <c r="GMW3" t="s">
        <v>3553</v>
      </c>
      <c r="GMX3" t="s">
        <v>3554</v>
      </c>
      <c r="GMY3" t="s">
        <v>3555</v>
      </c>
      <c r="GMZ3" t="s">
        <v>3556</v>
      </c>
      <c r="GNA3" t="s">
        <v>3557</v>
      </c>
      <c r="GNB3" t="s">
        <v>3558</v>
      </c>
      <c r="GNC3" t="s">
        <v>3559</v>
      </c>
      <c r="GND3" t="s">
        <v>3560</v>
      </c>
      <c r="GNE3" t="s">
        <v>3561</v>
      </c>
      <c r="GNF3" t="s">
        <v>3562</v>
      </c>
      <c r="GNG3">
        <v>0</v>
      </c>
      <c r="GNH3" t="s">
        <v>3563</v>
      </c>
      <c r="GNI3" t="s">
        <v>3564</v>
      </c>
      <c r="GNJ3">
        <v>0</v>
      </c>
      <c r="GNK3" t="s">
        <v>3563</v>
      </c>
      <c r="GNL3" t="s">
        <v>3565</v>
      </c>
      <c r="GNM3">
        <v>0</v>
      </c>
      <c r="GNN3" t="s">
        <v>3566</v>
      </c>
      <c r="GNO3" t="s">
        <v>3567</v>
      </c>
      <c r="GNP3">
        <v>0</v>
      </c>
      <c r="GNQ3" t="s">
        <v>3566</v>
      </c>
      <c r="GNR3" t="s">
        <v>3568</v>
      </c>
      <c r="GNS3" t="s">
        <v>3569</v>
      </c>
      <c r="GNT3" t="s">
        <v>3570</v>
      </c>
      <c r="GNU3" t="s">
        <v>3571</v>
      </c>
      <c r="GNV3" t="s">
        <v>3572</v>
      </c>
      <c r="GNW3" t="s">
        <v>3573</v>
      </c>
      <c r="GNX3" t="s">
        <v>3574</v>
      </c>
      <c r="GNY3" t="s">
        <v>3575</v>
      </c>
      <c r="GNZ3" t="s">
        <v>3576</v>
      </c>
      <c r="GOA3" t="s">
        <v>3577</v>
      </c>
      <c r="GOB3" t="s">
        <v>3578</v>
      </c>
      <c r="GOC3" t="s">
        <v>3579</v>
      </c>
      <c r="GOD3" t="s">
        <v>3580</v>
      </c>
      <c r="GOE3" t="s">
        <v>3581</v>
      </c>
      <c r="GOF3" t="s">
        <v>3582</v>
      </c>
      <c r="GOG3" t="s">
        <v>3583</v>
      </c>
      <c r="GOH3" t="s">
        <v>3584</v>
      </c>
      <c r="GOI3" t="s">
        <v>3585</v>
      </c>
      <c r="GOJ3" t="s">
        <v>3586</v>
      </c>
      <c r="GOK3" t="s">
        <v>3587</v>
      </c>
      <c r="GOL3" t="s">
        <v>3588</v>
      </c>
      <c r="GOM3" t="s">
        <v>3589</v>
      </c>
      <c r="GON3" t="s">
        <v>3590</v>
      </c>
      <c r="GOO3" t="s">
        <v>3591</v>
      </c>
      <c r="GOP3" t="s">
        <v>3592</v>
      </c>
      <c r="GOQ3" t="s">
        <v>44</v>
      </c>
      <c r="GOR3" t="s">
        <v>429</v>
      </c>
      <c r="GOS3" t="s">
        <v>46</v>
      </c>
      <c r="GOT3" t="s">
        <v>3593</v>
      </c>
      <c r="GOU3" t="s">
        <v>3594</v>
      </c>
      <c r="GOV3" t="s">
        <v>3595</v>
      </c>
      <c r="GOW3" t="s">
        <v>3596</v>
      </c>
      <c r="GOX3" t="s">
        <v>3597</v>
      </c>
      <c r="GOY3" t="s">
        <v>3598</v>
      </c>
      <c r="GOZ3" t="s">
        <v>3599</v>
      </c>
      <c r="GPA3" t="s">
        <v>3600</v>
      </c>
      <c r="GPB3" t="s">
        <v>932</v>
      </c>
      <c r="GPC3" t="s">
        <v>3601</v>
      </c>
      <c r="GPD3" t="s">
        <v>3602</v>
      </c>
      <c r="GPE3" t="s">
        <v>3603</v>
      </c>
      <c r="GPF3" t="s">
        <v>3604</v>
      </c>
      <c r="GPG3" t="s">
        <v>266</v>
      </c>
      <c r="GPH3" t="s">
        <v>3605</v>
      </c>
      <c r="GPI3" t="s">
        <v>3606</v>
      </c>
      <c r="GPJ3" t="s">
        <v>3607</v>
      </c>
      <c r="GPK3" t="s">
        <v>3608</v>
      </c>
      <c r="GPL3" t="s">
        <v>3609</v>
      </c>
      <c r="GPM3" t="s">
        <v>3610</v>
      </c>
      <c r="GPN3" t="s">
        <v>3611</v>
      </c>
      <c r="GPO3" t="s">
        <v>3612</v>
      </c>
      <c r="GPP3" t="s">
        <v>3613</v>
      </c>
      <c r="GPQ3" t="s">
        <v>3614</v>
      </c>
      <c r="GPR3" t="s">
        <v>3615</v>
      </c>
      <c r="GPS3" t="s">
        <v>3616</v>
      </c>
      <c r="GPT3" t="s">
        <v>3617</v>
      </c>
      <c r="GPU3" t="s">
        <v>3618</v>
      </c>
      <c r="GPV3" t="s">
        <v>3619</v>
      </c>
      <c r="GPW3" t="s">
        <v>3620</v>
      </c>
      <c r="GPX3" t="s">
        <v>3621</v>
      </c>
      <c r="GPY3" t="s">
        <v>3622</v>
      </c>
      <c r="GPZ3" t="s">
        <v>3623</v>
      </c>
      <c r="GQA3" t="s">
        <v>3624</v>
      </c>
      <c r="GQB3" t="s">
        <v>3625</v>
      </c>
      <c r="GQC3" t="s">
        <v>3626</v>
      </c>
      <c r="GQD3" t="s">
        <v>3627</v>
      </c>
      <c r="GQE3" t="s">
        <v>3628</v>
      </c>
      <c r="GQF3" t="s">
        <v>388</v>
      </c>
      <c r="GQG3" t="s">
        <v>3629</v>
      </c>
      <c r="GQH3" t="s">
        <v>3620</v>
      </c>
      <c r="GQI3" t="s">
        <v>3621</v>
      </c>
      <c r="GQJ3" t="s">
        <v>3622</v>
      </c>
      <c r="GQK3" t="s">
        <v>3623</v>
      </c>
      <c r="GQL3" t="s">
        <v>3630</v>
      </c>
      <c r="GQM3" t="s">
        <v>3631</v>
      </c>
      <c r="GQN3" t="s">
        <v>3628</v>
      </c>
      <c r="GQO3" t="s">
        <v>3632</v>
      </c>
      <c r="GQP3" t="s">
        <v>3633</v>
      </c>
      <c r="GQQ3" t="s">
        <v>3634</v>
      </c>
      <c r="GQR3" t="s">
        <v>3635</v>
      </c>
      <c r="GQS3" t="s">
        <v>3636</v>
      </c>
      <c r="GQT3" t="s">
        <v>3637</v>
      </c>
      <c r="GQU3" t="s">
        <v>3638</v>
      </c>
      <c r="GQV3" t="s">
        <v>3639</v>
      </c>
      <c r="GQW3" t="s">
        <v>3640</v>
      </c>
      <c r="GQX3" t="s">
        <v>3641</v>
      </c>
      <c r="GQY3" t="s">
        <v>3642</v>
      </c>
      <c r="GQZ3" t="s">
        <v>3643</v>
      </c>
      <c r="GRA3" t="s">
        <v>3644</v>
      </c>
      <c r="GRB3" t="s">
        <v>3645</v>
      </c>
      <c r="GRC3" t="s">
        <v>3646</v>
      </c>
      <c r="GRD3" t="s">
        <v>3647</v>
      </c>
      <c r="GRE3" t="s">
        <v>3648</v>
      </c>
      <c r="GRF3" t="s">
        <v>3649</v>
      </c>
      <c r="GRG3" t="s">
        <v>3650</v>
      </c>
      <c r="GRH3" t="s">
        <v>3651</v>
      </c>
      <c r="GRI3" t="s">
        <v>3652</v>
      </c>
      <c r="GRJ3" t="s">
        <v>3653</v>
      </c>
      <c r="GRK3" t="s">
        <v>3654</v>
      </c>
      <c r="GRL3" t="s">
        <v>3655</v>
      </c>
      <c r="GRM3" t="s">
        <v>3656</v>
      </c>
      <c r="GRN3" t="s">
        <v>3657</v>
      </c>
      <c r="GRO3" t="s">
        <v>3658</v>
      </c>
      <c r="GRP3" t="s">
        <v>3659</v>
      </c>
      <c r="GRQ3" t="s">
        <v>3660</v>
      </c>
      <c r="GRR3" t="s">
        <v>3661</v>
      </c>
      <c r="GRS3" t="s">
        <v>3662</v>
      </c>
      <c r="GRT3" t="s">
        <v>3663</v>
      </c>
      <c r="GRU3" t="s">
        <v>3664</v>
      </c>
      <c r="GRV3" t="s">
        <v>3665</v>
      </c>
      <c r="GRW3" t="s">
        <v>3666</v>
      </c>
      <c r="GRX3" t="s">
        <v>3667</v>
      </c>
      <c r="GRY3" t="s">
        <v>3628</v>
      </c>
      <c r="GRZ3" t="s">
        <v>388</v>
      </c>
      <c r="GSA3" t="s">
        <v>3629</v>
      </c>
      <c r="GSB3" t="s">
        <v>3660</v>
      </c>
      <c r="GSC3" t="s">
        <v>3661</v>
      </c>
      <c r="GSD3" t="s">
        <v>3662</v>
      </c>
      <c r="GSE3" t="s">
        <v>3663</v>
      </c>
      <c r="GSF3" t="s">
        <v>3668</v>
      </c>
      <c r="GSG3" t="s">
        <v>3631</v>
      </c>
      <c r="GSH3" t="s">
        <v>3628</v>
      </c>
      <c r="GSI3" t="s">
        <v>3669</v>
      </c>
      <c r="GSJ3" t="s">
        <v>3670</v>
      </c>
      <c r="GSK3" t="s">
        <v>3671</v>
      </c>
      <c r="GSL3" t="s">
        <v>3672</v>
      </c>
      <c r="GSM3" t="s">
        <v>3673</v>
      </c>
      <c r="GSN3" t="s">
        <v>3674</v>
      </c>
      <c r="GSO3" t="s">
        <v>3675</v>
      </c>
      <c r="GSP3" t="s">
        <v>3676</v>
      </c>
      <c r="GSQ3" t="s">
        <v>3677</v>
      </c>
      <c r="GSR3" t="s">
        <v>3678</v>
      </c>
      <c r="GSS3" t="s">
        <v>3679</v>
      </c>
      <c r="GST3" t="s">
        <v>3680</v>
      </c>
      <c r="GSU3" t="s">
        <v>3681</v>
      </c>
      <c r="GSV3" t="s">
        <v>3682</v>
      </c>
      <c r="GSW3" t="s">
        <v>3683</v>
      </c>
      <c r="GSX3" t="s">
        <v>3684</v>
      </c>
      <c r="GSY3" t="s">
        <v>3685</v>
      </c>
      <c r="GSZ3" t="s">
        <v>44</v>
      </c>
      <c r="GTA3" t="s">
        <v>3686</v>
      </c>
      <c r="GTB3" t="s">
        <v>3687</v>
      </c>
      <c r="GTC3" t="s">
        <v>3688</v>
      </c>
      <c r="GTD3" t="s">
        <v>3689</v>
      </c>
      <c r="GTE3" t="s">
        <v>3690</v>
      </c>
      <c r="GTF3" t="s">
        <v>1402</v>
      </c>
      <c r="GTG3" t="s">
        <v>3691</v>
      </c>
      <c r="GTH3" t="s">
        <v>3692</v>
      </c>
      <c r="GTI3" t="s">
        <v>3693</v>
      </c>
      <c r="GTJ3" t="s">
        <v>3694</v>
      </c>
      <c r="GTK3" t="s">
        <v>3695</v>
      </c>
      <c r="GTL3" t="s">
        <v>3696</v>
      </c>
      <c r="GTM3" t="s">
        <v>1352</v>
      </c>
      <c r="GTN3" t="s">
        <v>3697</v>
      </c>
      <c r="GTO3" t="s">
        <v>515</v>
      </c>
      <c r="GTP3" t="s">
        <v>3698</v>
      </c>
      <c r="GTQ3" t="s">
        <v>3699</v>
      </c>
      <c r="GTR3" t="s">
        <v>3700</v>
      </c>
      <c r="GTS3" t="s">
        <v>3701</v>
      </c>
      <c r="GTT3" t="s">
        <v>3702</v>
      </c>
      <c r="GTU3" t="s">
        <v>3703</v>
      </c>
      <c r="GTV3" t="s">
        <v>3704</v>
      </c>
      <c r="GTW3" t="s">
        <v>3705</v>
      </c>
      <c r="GTX3" t="s">
        <v>863</v>
      </c>
      <c r="GTY3" t="s">
        <v>3706</v>
      </c>
      <c r="GTZ3" t="s">
        <v>861</v>
      </c>
      <c r="GUA3" t="s">
        <v>3707</v>
      </c>
      <c r="GUB3" t="s">
        <v>861</v>
      </c>
      <c r="GUC3" t="s">
        <v>3708</v>
      </c>
      <c r="GUD3" t="s">
        <v>3709</v>
      </c>
      <c r="GUE3" t="s">
        <v>3710</v>
      </c>
      <c r="GUF3" t="s">
        <v>44</v>
      </c>
      <c r="GUG3" t="s">
        <v>243</v>
      </c>
      <c r="GUH3" t="s">
        <v>3711</v>
      </c>
      <c r="GUI3" t="s">
        <v>3712</v>
      </c>
      <c r="GUJ3" t="s">
        <v>44</v>
      </c>
      <c r="GUK3" t="s">
        <v>125</v>
      </c>
      <c r="GUL3" t="s">
        <v>3713</v>
      </c>
      <c r="GUM3" t="s">
        <v>3714</v>
      </c>
      <c r="GUN3" t="s">
        <v>3715</v>
      </c>
      <c r="GUO3" t="s">
        <v>3716</v>
      </c>
      <c r="GUP3" t="s">
        <v>3717</v>
      </c>
      <c r="GUQ3" t="s">
        <v>3718</v>
      </c>
      <c r="GUR3" t="s">
        <v>3719</v>
      </c>
      <c r="GUS3" t="s">
        <v>3720</v>
      </c>
      <c r="GUT3" t="s">
        <v>3721</v>
      </c>
      <c r="GUU3" t="s">
        <v>3722</v>
      </c>
      <c r="GUV3" t="s">
        <v>3723</v>
      </c>
      <c r="GUW3" t="s">
        <v>3724</v>
      </c>
      <c r="GUX3" t="s">
        <v>3725</v>
      </c>
      <c r="GUY3" t="s">
        <v>3726</v>
      </c>
      <c r="GUZ3" t="s">
        <v>3727</v>
      </c>
      <c r="GVA3" t="s">
        <v>3728</v>
      </c>
      <c r="GVB3" t="s">
        <v>3729</v>
      </c>
      <c r="GVC3" t="s">
        <v>3730</v>
      </c>
      <c r="GVD3" t="s">
        <v>3731</v>
      </c>
      <c r="GVE3" t="s">
        <v>3732</v>
      </c>
      <c r="GVF3" t="s">
        <v>3733</v>
      </c>
      <c r="GVG3" t="s">
        <v>3734</v>
      </c>
      <c r="GVH3" t="s">
        <v>44</v>
      </c>
      <c r="GVI3" t="s">
        <v>243</v>
      </c>
      <c r="GVJ3" t="s">
        <v>3735</v>
      </c>
      <c r="GVK3" t="s">
        <v>1034</v>
      </c>
      <c r="GVL3" t="s">
        <v>3736</v>
      </c>
      <c r="GVM3" t="s">
        <v>44</v>
      </c>
      <c r="GVN3" t="s">
        <v>46</v>
      </c>
      <c r="GVO3" t="s">
        <v>125</v>
      </c>
      <c r="GVP3" t="s">
        <v>3737</v>
      </c>
      <c r="GVQ3" t="s">
        <v>3738</v>
      </c>
      <c r="GVR3" t="s">
        <v>3739</v>
      </c>
      <c r="GVS3" t="s">
        <v>3740</v>
      </c>
      <c r="GVT3" t="s">
        <v>44</v>
      </c>
      <c r="GVU3" t="s">
        <v>333</v>
      </c>
      <c r="GVV3" t="s">
        <v>836</v>
      </c>
      <c r="GVW3" t="s">
        <v>3741</v>
      </c>
      <c r="GVX3" t="s">
        <v>3742</v>
      </c>
      <c r="GVY3" t="s">
        <v>3743</v>
      </c>
      <c r="GVZ3" t="s">
        <v>3744</v>
      </c>
      <c r="GWA3" t="s">
        <v>3745</v>
      </c>
      <c r="GWB3" t="s">
        <v>3746</v>
      </c>
      <c r="GWC3" t="s">
        <v>3747</v>
      </c>
      <c r="GWD3" t="s">
        <v>3748</v>
      </c>
      <c r="GWE3" t="s">
        <v>3749</v>
      </c>
      <c r="GWF3" t="s">
        <v>3750</v>
      </c>
      <c r="GWG3" t="s">
        <v>3751</v>
      </c>
      <c r="GWH3" t="s">
        <v>3752</v>
      </c>
      <c r="GWI3" t="s">
        <v>3753</v>
      </c>
      <c r="GWJ3" t="s">
        <v>3754</v>
      </c>
      <c r="GWK3" t="s">
        <v>3755</v>
      </c>
      <c r="GWL3" t="s">
        <v>3756</v>
      </c>
      <c r="GWM3" t="s">
        <v>3757</v>
      </c>
      <c r="GWN3" t="s">
        <v>3758</v>
      </c>
      <c r="GWO3" t="s">
        <v>3759</v>
      </c>
      <c r="GWP3" t="s">
        <v>44</v>
      </c>
      <c r="GWQ3" t="s">
        <v>3760</v>
      </c>
      <c r="GWR3" t="s">
        <v>44</v>
      </c>
      <c r="GWS3" t="s">
        <v>3761</v>
      </c>
      <c r="GWT3" t="s">
        <v>3762</v>
      </c>
      <c r="GWU3" t="s">
        <v>44</v>
      </c>
      <c r="GWV3" t="s">
        <v>3760</v>
      </c>
      <c r="GWW3" t="s">
        <v>125</v>
      </c>
      <c r="GWX3" t="s">
        <v>3763</v>
      </c>
      <c r="GWY3" t="s">
        <v>3764</v>
      </c>
      <c r="GWZ3" t="s">
        <v>2678</v>
      </c>
      <c r="GXA3" t="s">
        <v>3765</v>
      </c>
      <c r="GXB3" t="s">
        <v>3766</v>
      </c>
      <c r="GXC3" t="s">
        <v>3767</v>
      </c>
      <c r="GXD3" t="s">
        <v>3768</v>
      </c>
      <c r="GXE3" t="s">
        <v>3769</v>
      </c>
      <c r="GXF3" t="s">
        <v>3770</v>
      </c>
      <c r="GXG3" t="s">
        <v>3771</v>
      </c>
      <c r="GXH3" t="s">
        <v>3772</v>
      </c>
      <c r="GXI3" t="s">
        <v>44</v>
      </c>
      <c r="GXJ3" t="s">
        <v>3773</v>
      </c>
      <c r="GXK3" t="s">
        <v>131</v>
      </c>
      <c r="GXL3" t="s">
        <v>3774</v>
      </c>
      <c r="GXM3" t="s">
        <v>3775</v>
      </c>
      <c r="GXN3" t="s">
        <v>3776</v>
      </c>
      <c r="GXO3" t="s">
        <v>3777</v>
      </c>
      <c r="GXP3" t="s">
        <v>3778</v>
      </c>
      <c r="GXQ3" t="s">
        <v>3779</v>
      </c>
      <c r="GXR3" t="s">
        <v>3780</v>
      </c>
      <c r="GXS3" t="s">
        <v>3781</v>
      </c>
      <c r="GXT3" t="s">
        <v>3782</v>
      </c>
      <c r="GXU3" t="s">
        <v>3783</v>
      </c>
      <c r="GXV3" t="s">
        <v>3784</v>
      </c>
      <c r="GXW3" t="s">
        <v>3785</v>
      </c>
      <c r="GXX3" t="s">
        <v>3786</v>
      </c>
      <c r="GXY3" t="s">
        <v>3787</v>
      </c>
      <c r="GXZ3" t="s">
        <v>3788</v>
      </c>
      <c r="GYA3" t="s">
        <v>3789</v>
      </c>
      <c r="GYB3" t="s">
        <v>3790</v>
      </c>
      <c r="GYC3" t="s">
        <v>3791</v>
      </c>
      <c r="GYD3" t="s">
        <v>3792</v>
      </c>
      <c r="GYE3" t="s">
        <v>3793</v>
      </c>
      <c r="GYF3" t="s">
        <v>3794</v>
      </c>
      <c r="GYG3" t="s">
        <v>3795</v>
      </c>
      <c r="GYH3" t="s">
        <v>3796</v>
      </c>
      <c r="GYI3" t="s">
        <v>3797</v>
      </c>
      <c r="GYJ3" t="s">
        <v>3798</v>
      </c>
      <c r="GYK3" t="s">
        <v>2854</v>
      </c>
      <c r="GYL3" t="s">
        <v>2855</v>
      </c>
      <c r="GYM3" t="s">
        <v>1685</v>
      </c>
      <c r="GYN3" t="s">
        <v>2856</v>
      </c>
      <c r="GYO3" t="s">
        <v>3799</v>
      </c>
      <c r="GYP3" t="s">
        <v>3800</v>
      </c>
      <c r="GYQ3" t="s">
        <v>3796</v>
      </c>
      <c r="GYR3" t="s">
        <v>3801</v>
      </c>
      <c r="GYS3" t="s">
        <v>3802</v>
      </c>
      <c r="GYT3" t="s">
        <v>3803</v>
      </c>
      <c r="GYU3" t="s">
        <v>3804</v>
      </c>
      <c r="GYV3" t="s">
        <v>3805</v>
      </c>
      <c r="GYW3" t="s">
        <v>3806</v>
      </c>
      <c r="GYX3" t="s">
        <v>3807</v>
      </c>
      <c r="GYY3" t="s">
        <v>3808</v>
      </c>
      <c r="GYZ3" t="s">
        <v>3809</v>
      </c>
      <c r="GZA3" t="s">
        <v>3806</v>
      </c>
      <c r="GZB3" t="s">
        <v>3810</v>
      </c>
      <c r="GZC3" t="s">
        <v>3808</v>
      </c>
      <c r="GZD3" t="s">
        <v>3811</v>
      </c>
      <c r="GZE3" t="s">
        <v>3806</v>
      </c>
      <c r="GZF3" t="s">
        <v>3812</v>
      </c>
      <c r="GZG3" t="s">
        <v>3806</v>
      </c>
      <c r="GZH3" t="s">
        <v>3813</v>
      </c>
      <c r="GZI3" t="s">
        <v>3806</v>
      </c>
      <c r="GZJ3" t="s">
        <v>3814</v>
      </c>
      <c r="GZK3" t="s">
        <v>3815</v>
      </c>
      <c r="GZL3" t="s">
        <v>3816</v>
      </c>
      <c r="GZM3" t="s">
        <v>155</v>
      </c>
      <c r="GZN3" t="s">
        <v>3817</v>
      </c>
      <c r="GZO3" t="s">
        <v>3818</v>
      </c>
      <c r="GZP3" t="s">
        <v>3819</v>
      </c>
      <c r="GZQ3" t="s">
        <v>3806</v>
      </c>
      <c r="GZR3" t="s">
        <v>3820</v>
      </c>
      <c r="GZS3" t="s">
        <v>3808</v>
      </c>
      <c r="GZT3" t="s">
        <v>3821</v>
      </c>
      <c r="GZU3" t="s">
        <v>3806</v>
      </c>
      <c r="GZV3" t="s">
        <v>3806</v>
      </c>
      <c r="GZW3" t="s">
        <v>3822</v>
      </c>
      <c r="GZX3" t="s">
        <v>134</v>
      </c>
      <c r="GZY3" t="s">
        <v>3823</v>
      </c>
      <c r="GZZ3" t="s">
        <v>3824</v>
      </c>
      <c r="HAA3" t="s">
        <v>3825</v>
      </c>
      <c r="HAB3" t="s">
        <v>3826</v>
      </c>
      <c r="HAC3" t="s">
        <v>2672</v>
      </c>
      <c r="HAD3" t="s">
        <v>3827</v>
      </c>
      <c r="HAE3" t="s">
        <v>44</v>
      </c>
      <c r="HAF3" t="s">
        <v>243</v>
      </c>
      <c r="HAG3" t="s">
        <v>3828</v>
      </c>
      <c r="HAH3" t="s">
        <v>3829</v>
      </c>
      <c r="HAI3" t="s">
        <v>3830</v>
      </c>
      <c r="HAJ3" t="s">
        <v>1034</v>
      </c>
      <c r="HAK3" t="s">
        <v>2732</v>
      </c>
      <c r="HAL3" t="s">
        <v>44</v>
      </c>
      <c r="HAM3" t="s">
        <v>46</v>
      </c>
      <c r="HAN3" t="s">
        <v>125</v>
      </c>
      <c r="HAO3" t="s">
        <v>3831</v>
      </c>
      <c r="HAP3" t="s">
        <v>3832</v>
      </c>
      <c r="HAQ3" t="s">
        <v>3833</v>
      </c>
      <c r="HAR3" t="s">
        <v>3834</v>
      </c>
      <c r="HAS3" t="s">
        <v>3835</v>
      </c>
      <c r="HAT3" t="s">
        <v>3836</v>
      </c>
      <c r="HAU3" t="s">
        <v>3837</v>
      </c>
      <c r="HAV3" t="s">
        <v>3838</v>
      </c>
      <c r="HAW3" t="s">
        <v>44</v>
      </c>
      <c r="HAX3" t="s">
        <v>1336</v>
      </c>
      <c r="HAY3" t="s">
        <v>3729</v>
      </c>
      <c r="HAZ3" t="s">
        <v>3839</v>
      </c>
      <c r="HBA3" t="s">
        <v>3840</v>
      </c>
      <c r="HBB3" t="s">
        <v>3841</v>
      </c>
      <c r="HBC3" t="s">
        <v>44</v>
      </c>
      <c r="HBD3" t="s">
        <v>243</v>
      </c>
      <c r="HBE3" t="s">
        <v>3842</v>
      </c>
      <c r="HBF3" t="s">
        <v>3843</v>
      </c>
      <c r="HBG3" t="s">
        <v>3844</v>
      </c>
      <c r="HBH3" t="s">
        <v>44</v>
      </c>
      <c r="HBI3" t="s">
        <v>2731</v>
      </c>
      <c r="HBJ3" t="s">
        <v>1035</v>
      </c>
      <c r="HBK3" t="s">
        <v>44</v>
      </c>
      <c r="HBL3" t="s">
        <v>47</v>
      </c>
      <c r="HBM3" t="s">
        <v>125</v>
      </c>
      <c r="HBN3" t="s">
        <v>1777</v>
      </c>
      <c r="HBO3" t="s">
        <v>3845</v>
      </c>
      <c r="HBP3" t="s">
        <v>44</v>
      </c>
      <c r="HBQ3" t="s">
        <v>243</v>
      </c>
      <c r="HBR3" t="s">
        <v>783</v>
      </c>
      <c r="HBS3" t="s">
        <v>3846</v>
      </c>
      <c r="HBT3" t="s">
        <v>3847</v>
      </c>
      <c r="HBU3" t="s">
        <v>3848</v>
      </c>
      <c r="HBV3" t="s">
        <v>3849</v>
      </c>
      <c r="HBW3" t="s">
        <v>3850</v>
      </c>
      <c r="HBX3" t="s">
        <v>825</v>
      </c>
      <c r="HBY3" t="s">
        <v>3851</v>
      </c>
      <c r="HBZ3" t="s">
        <v>3852</v>
      </c>
      <c r="HCA3" t="s">
        <v>3853</v>
      </c>
      <c r="HCB3" t="s">
        <v>3854</v>
      </c>
      <c r="HCC3" t="s">
        <v>825</v>
      </c>
      <c r="HCD3" t="s">
        <v>3855</v>
      </c>
      <c r="HCE3" t="s">
        <v>3850</v>
      </c>
      <c r="HCF3" t="s">
        <v>825</v>
      </c>
      <c r="HCG3" t="s">
        <v>3856</v>
      </c>
      <c r="HCH3" t="s">
        <v>3857</v>
      </c>
      <c r="HCI3" t="s">
        <v>3858</v>
      </c>
      <c r="HCJ3" t="s">
        <v>3859</v>
      </c>
      <c r="HCK3" t="s">
        <v>3860</v>
      </c>
      <c r="HCL3" t="s">
        <v>3861</v>
      </c>
      <c r="HCM3" t="s">
        <v>825</v>
      </c>
      <c r="HCN3" t="s">
        <v>825</v>
      </c>
      <c r="HCO3" t="s">
        <v>3862</v>
      </c>
      <c r="HCP3" t="s">
        <v>3857</v>
      </c>
      <c r="HCQ3" t="s">
        <v>3859</v>
      </c>
      <c r="HCR3" t="s">
        <v>3863</v>
      </c>
      <c r="HCS3" t="s">
        <v>3861</v>
      </c>
      <c r="HCT3" t="s">
        <v>825</v>
      </c>
      <c r="HCU3" t="s">
        <v>825</v>
      </c>
      <c r="HCV3" t="s">
        <v>3864</v>
      </c>
      <c r="HCW3" t="s">
        <v>3857</v>
      </c>
      <c r="HCX3" t="s">
        <v>3859</v>
      </c>
      <c r="HCY3" t="s">
        <v>3865</v>
      </c>
      <c r="HCZ3" t="s">
        <v>3861</v>
      </c>
      <c r="HDA3" t="s">
        <v>825</v>
      </c>
      <c r="HDB3" t="s">
        <v>825</v>
      </c>
      <c r="HDC3" t="s">
        <v>3866</v>
      </c>
      <c r="HDD3" t="s">
        <v>3867</v>
      </c>
      <c r="HDE3" t="s">
        <v>3868</v>
      </c>
      <c r="HDF3" t="s">
        <v>3869</v>
      </c>
      <c r="HDG3" t="s">
        <v>825</v>
      </c>
      <c r="HDH3" t="s">
        <v>3870</v>
      </c>
      <c r="HDI3" t="s">
        <v>142</v>
      </c>
      <c r="HDJ3" t="s">
        <v>1442</v>
      </c>
      <c r="HDK3" t="s">
        <v>825</v>
      </c>
      <c r="HDL3" t="s">
        <v>3871</v>
      </c>
      <c r="HDM3" t="s">
        <v>142</v>
      </c>
      <c r="HDN3" t="s">
        <v>1442</v>
      </c>
      <c r="HDO3" t="s">
        <v>825</v>
      </c>
      <c r="HDP3" t="s">
        <v>3872</v>
      </c>
      <c r="HDQ3" t="s">
        <v>3780</v>
      </c>
      <c r="HDR3" t="s">
        <v>3873</v>
      </c>
      <c r="HDS3" t="s">
        <v>186</v>
      </c>
      <c r="HDT3" t="s">
        <v>3874</v>
      </c>
      <c r="HDU3" t="s">
        <v>3875</v>
      </c>
      <c r="HDV3" t="s">
        <v>3876</v>
      </c>
      <c r="HDW3" t="s">
        <v>3877</v>
      </c>
      <c r="HDX3" t="s">
        <v>3878</v>
      </c>
      <c r="HDY3" t="s">
        <v>3879</v>
      </c>
      <c r="HDZ3" t="s">
        <v>825</v>
      </c>
      <c r="HEA3" t="s">
        <v>3880</v>
      </c>
      <c r="HEB3" t="s">
        <v>155</v>
      </c>
      <c r="HEC3" t="s">
        <v>3881</v>
      </c>
      <c r="HED3" t="s">
        <v>3882</v>
      </c>
      <c r="HEE3" t="s">
        <v>3883</v>
      </c>
      <c r="HEF3" t="s">
        <v>3884</v>
      </c>
      <c r="HEG3" t="s">
        <v>825</v>
      </c>
      <c r="HEH3" t="s">
        <v>3885</v>
      </c>
      <c r="HEI3" t="s">
        <v>44</v>
      </c>
      <c r="HEJ3" t="s">
        <v>3886</v>
      </c>
      <c r="HEK3" t="s">
        <v>3887</v>
      </c>
      <c r="HEL3" t="s">
        <v>44</v>
      </c>
      <c r="HEM3" t="s">
        <v>125</v>
      </c>
      <c r="HEN3" t="s">
        <v>126</v>
      </c>
      <c r="HEO3" t="s">
        <v>46</v>
      </c>
      <c r="HEP3" t="s">
        <v>3888</v>
      </c>
      <c r="HEQ3" t="s">
        <v>1336</v>
      </c>
      <c r="HER3" t="s">
        <v>3889</v>
      </c>
      <c r="HES3" t="s">
        <v>3890</v>
      </c>
      <c r="HET3" t="s">
        <v>3891</v>
      </c>
      <c r="HEU3" t="s">
        <v>3892</v>
      </c>
      <c r="HEV3" t="s">
        <v>3893</v>
      </c>
      <c r="HEW3" t="s">
        <v>3894</v>
      </c>
      <c r="HEX3" t="s">
        <v>3895</v>
      </c>
      <c r="HEY3" t="s">
        <v>44</v>
      </c>
      <c r="HEZ3" t="s">
        <v>125</v>
      </c>
      <c r="HFA3" t="s">
        <v>126</v>
      </c>
      <c r="HFB3" t="s">
        <v>3896</v>
      </c>
      <c r="HFC3" t="s">
        <v>3897</v>
      </c>
      <c r="HFD3" t="s">
        <v>3898</v>
      </c>
      <c r="HFE3" t="s">
        <v>3899</v>
      </c>
      <c r="HFF3" t="s">
        <v>3900</v>
      </c>
      <c r="HFG3" t="s">
        <v>1475</v>
      </c>
      <c r="HFH3" t="s">
        <v>3901</v>
      </c>
      <c r="HFI3" t="s">
        <v>3902</v>
      </c>
      <c r="HFJ3" t="s">
        <v>3903</v>
      </c>
      <c r="HFK3" t="s">
        <v>3904</v>
      </c>
      <c r="HFL3" t="s">
        <v>3905</v>
      </c>
      <c r="HFM3" t="s">
        <v>3906</v>
      </c>
      <c r="HFN3" t="s">
        <v>3907</v>
      </c>
      <c r="HFO3" t="s">
        <v>3908</v>
      </c>
      <c r="HFP3" t="s">
        <v>125</v>
      </c>
      <c r="HFQ3" t="s">
        <v>282</v>
      </c>
      <c r="HFR3" t="s">
        <v>3909</v>
      </c>
      <c r="HFS3" t="s">
        <v>125</v>
      </c>
      <c r="HFT3" t="s">
        <v>3910</v>
      </c>
      <c r="HFU3" t="s">
        <v>896</v>
      </c>
      <c r="HFV3" t="s">
        <v>3911</v>
      </c>
      <c r="HFW3" t="s">
        <v>3912</v>
      </c>
      <c r="HFX3" t="s">
        <v>3913</v>
      </c>
      <c r="HFY3" t="s">
        <v>3914</v>
      </c>
      <c r="HFZ3" t="s">
        <v>3915</v>
      </c>
      <c r="HGA3" t="s">
        <v>3916</v>
      </c>
      <c r="HGB3" t="s">
        <v>3917</v>
      </c>
      <c r="HGC3" t="s">
        <v>3918</v>
      </c>
      <c r="HGD3" t="s">
        <v>3919</v>
      </c>
      <c r="HGE3" t="s">
        <v>3920</v>
      </c>
      <c r="HGF3" t="s">
        <v>3921</v>
      </c>
      <c r="HGG3" t="s">
        <v>3922</v>
      </c>
      <c r="HGH3" t="s">
        <v>266</v>
      </c>
      <c r="HGI3" t="s">
        <v>3923</v>
      </c>
      <c r="HGJ3" t="s">
        <v>3924</v>
      </c>
      <c r="HGK3" t="s">
        <v>3925</v>
      </c>
      <c r="HGL3" t="s">
        <v>3926</v>
      </c>
      <c r="HGM3" t="s">
        <v>3927</v>
      </c>
      <c r="HGN3" t="s">
        <v>1694</v>
      </c>
      <c r="HGO3" t="s">
        <v>1347</v>
      </c>
      <c r="HGP3" t="s">
        <v>1692</v>
      </c>
      <c r="HGQ3" t="s">
        <v>3284</v>
      </c>
      <c r="HGR3" t="s">
        <v>3928</v>
      </c>
      <c r="HGS3" t="s">
        <v>1694</v>
      </c>
      <c r="HGT3" t="s">
        <v>1693</v>
      </c>
      <c r="HGU3" t="s">
        <v>266</v>
      </c>
      <c r="HGV3" t="s">
        <v>932</v>
      </c>
      <c r="HGW3" t="s">
        <v>3929</v>
      </c>
      <c r="HGX3" t="s">
        <v>3930</v>
      </c>
      <c r="HGY3" t="s">
        <v>1511</v>
      </c>
      <c r="HGZ3" t="s">
        <v>48</v>
      </c>
      <c r="HHA3" t="s">
        <v>255</v>
      </c>
      <c r="HHB3" t="s">
        <v>3931</v>
      </c>
      <c r="HHC3" t="s">
        <v>3932</v>
      </c>
      <c r="HHD3" t="s">
        <v>3933</v>
      </c>
      <c r="HHE3" t="s">
        <v>46</v>
      </c>
      <c r="HHF3" t="s">
        <v>47</v>
      </c>
      <c r="HHG3" t="s">
        <v>1503</v>
      </c>
      <c r="HHH3" t="s">
        <v>511</v>
      </c>
      <c r="HHI3" t="s">
        <v>48</v>
      </c>
      <c r="HHJ3" t="s">
        <v>254</v>
      </c>
      <c r="HHK3" t="s">
        <v>3934</v>
      </c>
      <c r="HHL3" t="s">
        <v>3935</v>
      </c>
      <c r="HHM3" t="s">
        <v>3936</v>
      </c>
      <c r="HHN3" t="s">
        <v>3937</v>
      </c>
      <c r="HHO3" t="s">
        <v>3938</v>
      </c>
      <c r="HHP3" t="s">
        <v>3939</v>
      </c>
      <c r="HHQ3" t="s">
        <v>3940</v>
      </c>
      <c r="HHR3" t="s">
        <v>3941</v>
      </c>
      <c r="HHS3" t="s">
        <v>3942</v>
      </c>
      <c r="HHT3" t="s">
        <v>3943</v>
      </c>
      <c r="HHU3" t="s">
        <v>3944</v>
      </c>
      <c r="HHV3" t="s">
        <v>3945</v>
      </c>
      <c r="HHW3" t="s">
        <v>3389</v>
      </c>
      <c r="HHX3" t="s">
        <v>3946</v>
      </c>
      <c r="HHY3" t="s">
        <v>3947</v>
      </c>
      <c r="HHZ3" t="s">
        <v>3948</v>
      </c>
      <c r="HIA3" t="s">
        <v>3949</v>
      </c>
      <c r="HIB3" t="s">
        <v>310</v>
      </c>
      <c r="HIC3" t="s">
        <v>282</v>
      </c>
      <c r="HID3" t="s">
        <v>3950</v>
      </c>
      <c r="HIE3" t="s">
        <v>310</v>
      </c>
      <c r="HIF3" t="s">
        <v>3951</v>
      </c>
      <c r="HIG3" t="s">
        <v>3952</v>
      </c>
      <c r="HIH3" t="s">
        <v>1511</v>
      </c>
      <c r="HII3" t="s">
        <v>1691</v>
      </c>
      <c r="HIJ3" t="s">
        <v>282</v>
      </c>
      <c r="HIK3" t="s">
        <v>3953</v>
      </c>
      <c r="HIL3" t="s">
        <v>3954</v>
      </c>
      <c r="HIM3" t="s">
        <v>1310</v>
      </c>
      <c r="HIN3" t="s">
        <v>1691</v>
      </c>
      <c r="HIO3" t="s">
        <v>3955</v>
      </c>
      <c r="HIP3" t="s">
        <v>3956</v>
      </c>
      <c r="HIQ3" t="s">
        <v>3638</v>
      </c>
      <c r="HIR3" t="s">
        <v>1828</v>
      </c>
      <c r="HIS3" t="s">
        <v>3957</v>
      </c>
      <c r="HIT3" t="s">
        <v>3958</v>
      </c>
      <c r="HIU3" t="s">
        <v>3959</v>
      </c>
      <c r="HIV3" t="s">
        <v>3960</v>
      </c>
      <c r="HIW3" t="s">
        <v>3961</v>
      </c>
      <c r="HIX3" t="s">
        <v>3962</v>
      </c>
      <c r="HIY3" t="s">
        <v>3963</v>
      </c>
      <c r="HIZ3" t="s">
        <v>3964</v>
      </c>
      <c r="HJA3" t="s">
        <v>3965</v>
      </c>
      <c r="HJB3" t="s">
        <v>3966</v>
      </c>
      <c r="HJC3" t="s">
        <v>3959</v>
      </c>
      <c r="HJD3" t="s">
        <v>3967</v>
      </c>
      <c r="HJE3" t="s">
        <v>3961</v>
      </c>
      <c r="HJF3" t="s">
        <v>3962</v>
      </c>
      <c r="HJG3" t="s">
        <v>3968</v>
      </c>
      <c r="HJH3" t="s">
        <v>3969</v>
      </c>
      <c r="HJI3" t="s">
        <v>3970</v>
      </c>
      <c r="HJJ3" t="s">
        <v>3971</v>
      </c>
      <c r="HJK3" t="s">
        <v>3972</v>
      </c>
      <c r="HJL3" t="s">
        <v>44</v>
      </c>
      <c r="HJM3" t="s">
        <v>3973</v>
      </c>
      <c r="HJN3" t="s">
        <v>3974</v>
      </c>
      <c r="HJO3" t="s">
        <v>3975</v>
      </c>
      <c r="HJP3" t="s">
        <v>3976</v>
      </c>
      <c r="HJQ3" t="s">
        <v>808</v>
      </c>
      <c r="HJR3" t="s">
        <v>3977</v>
      </c>
      <c r="HJS3" t="s">
        <v>3978</v>
      </c>
      <c r="HJT3" t="s">
        <v>3977</v>
      </c>
      <c r="HJU3" t="s">
        <v>3979</v>
      </c>
      <c r="HJV3" t="s">
        <v>3980</v>
      </c>
      <c r="HJW3" t="s">
        <v>3981</v>
      </c>
      <c r="HJX3" t="s">
        <v>3982</v>
      </c>
      <c r="HJY3" t="s">
        <v>3977</v>
      </c>
      <c r="HJZ3" t="s">
        <v>3983</v>
      </c>
      <c r="HKA3" t="s">
        <v>2489</v>
      </c>
      <c r="HKB3" t="s">
        <v>3977</v>
      </c>
      <c r="HKC3" t="s">
        <v>3984</v>
      </c>
      <c r="HKD3" t="s">
        <v>2489</v>
      </c>
      <c r="HKE3" t="s">
        <v>3977</v>
      </c>
      <c r="HKF3" t="s">
        <v>3985</v>
      </c>
      <c r="HKG3" t="s">
        <v>3986</v>
      </c>
      <c r="HKH3" t="s">
        <v>3987</v>
      </c>
      <c r="HKI3" t="s">
        <v>3988</v>
      </c>
      <c r="HKJ3" t="s">
        <v>3989</v>
      </c>
      <c r="HKK3" t="s">
        <v>3977</v>
      </c>
      <c r="HKL3" t="s">
        <v>3990</v>
      </c>
      <c r="HKM3" t="s">
        <v>142</v>
      </c>
      <c r="HKN3" t="s">
        <v>1442</v>
      </c>
      <c r="HKO3" t="s">
        <v>3991</v>
      </c>
      <c r="HKP3" t="s">
        <v>3977</v>
      </c>
      <c r="HKQ3" t="s">
        <v>3992</v>
      </c>
      <c r="HKR3" t="s">
        <v>2489</v>
      </c>
      <c r="HKS3" t="s">
        <v>3977</v>
      </c>
      <c r="HKT3" t="s">
        <v>3993</v>
      </c>
      <c r="HKU3" t="s">
        <v>2489</v>
      </c>
      <c r="HKV3" t="s">
        <v>3977</v>
      </c>
      <c r="HKW3" t="s">
        <v>154</v>
      </c>
      <c r="HKX3" t="s">
        <v>155</v>
      </c>
      <c r="HKY3" t="s">
        <v>156</v>
      </c>
      <c r="HKZ3" t="s">
        <v>3883</v>
      </c>
      <c r="HLA3" t="s">
        <v>3994</v>
      </c>
      <c r="HLB3" t="s">
        <v>3977</v>
      </c>
      <c r="HLC3" t="s">
        <v>162</v>
      </c>
      <c r="HLD3" t="s">
        <v>163</v>
      </c>
      <c r="HLE3" t="s">
        <v>164</v>
      </c>
      <c r="HLF3" t="s">
        <v>226</v>
      </c>
      <c r="HLG3" t="s">
        <v>3995</v>
      </c>
      <c r="HLH3" t="s">
        <v>3977</v>
      </c>
      <c r="HLI3" t="s">
        <v>149</v>
      </c>
      <c r="HLJ3" t="s">
        <v>3996</v>
      </c>
      <c r="HLK3" t="s">
        <v>3997</v>
      </c>
      <c r="HLL3" t="s">
        <v>150</v>
      </c>
      <c r="HLM3" t="s">
        <v>3977</v>
      </c>
      <c r="HLN3" t="s">
        <v>161</v>
      </c>
      <c r="HLO3" t="s">
        <v>3996</v>
      </c>
      <c r="HLP3" t="s">
        <v>3998</v>
      </c>
      <c r="HLQ3" t="s">
        <v>150</v>
      </c>
      <c r="HLR3" t="s">
        <v>3977</v>
      </c>
      <c r="HLS3" t="s">
        <v>3999</v>
      </c>
      <c r="HLT3" t="s">
        <v>4000</v>
      </c>
      <c r="HLU3" t="s">
        <v>44</v>
      </c>
      <c r="HLV3" t="s">
        <v>835</v>
      </c>
      <c r="HLW3" t="s">
        <v>4001</v>
      </c>
      <c r="HLX3" t="s">
        <v>44</v>
      </c>
      <c r="HLY3" t="s">
        <v>125</v>
      </c>
      <c r="HLZ3" t="s">
        <v>4002</v>
      </c>
      <c r="HMA3" t="s">
        <v>4003</v>
      </c>
      <c r="HMB3" t="s">
        <v>49</v>
      </c>
      <c r="HMC3" t="s">
        <v>4004</v>
      </c>
      <c r="HMD3" t="s">
        <v>4005</v>
      </c>
      <c r="HME3" t="s">
        <v>4006</v>
      </c>
      <c r="HMF3" t="s">
        <v>4007</v>
      </c>
      <c r="HMG3" t="s">
        <v>4008</v>
      </c>
      <c r="HMH3" t="s">
        <v>4009</v>
      </c>
      <c r="HMI3" t="s">
        <v>4010</v>
      </c>
      <c r="HMJ3" t="s">
        <v>4011</v>
      </c>
      <c r="HMK3" t="s">
        <v>4012</v>
      </c>
      <c r="HML3" t="s">
        <v>4013</v>
      </c>
      <c r="HMM3" t="s">
        <v>4014</v>
      </c>
      <c r="HMN3" t="s">
        <v>4015</v>
      </c>
      <c r="HMO3" t="s">
        <v>4016</v>
      </c>
      <c r="HMP3" t="s">
        <v>4017</v>
      </c>
      <c r="HMQ3" t="s">
        <v>3206</v>
      </c>
      <c r="HMR3" t="s">
        <v>4018</v>
      </c>
      <c r="HMS3" t="s">
        <v>4019</v>
      </c>
      <c r="HMT3" t="s">
        <v>4020</v>
      </c>
      <c r="HMU3" t="s">
        <v>44</v>
      </c>
      <c r="HMV3" t="s">
        <v>243</v>
      </c>
      <c r="HMW3" t="s">
        <v>4021</v>
      </c>
      <c r="HMX3" t="s">
        <v>4022</v>
      </c>
      <c r="HMY3" t="s">
        <v>4023</v>
      </c>
      <c r="HMZ3" t="s">
        <v>44</v>
      </c>
      <c r="HNA3" t="s">
        <v>4024</v>
      </c>
      <c r="HNB3" t="s">
        <v>1035</v>
      </c>
      <c r="HNC3" t="s">
        <v>44</v>
      </c>
      <c r="HND3" t="s">
        <v>1503</v>
      </c>
      <c r="HNE3" t="s">
        <v>125</v>
      </c>
      <c r="HNF3" t="s">
        <v>4025</v>
      </c>
      <c r="HNG3" t="s">
        <v>4026</v>
      </c>
      <c r="HNH3" t="s">
        <v>4027</v>
      </c>
      <c r="HNI3" t="s">
        <v>4028</v>
      </c>
      <c r="HNJ3" t="s">
        <v>4029</v>
      </c>
      <c r="HNK3" t="s">
        <v>4030</v>
      </c>
      <c r="HNL3" t="s">
        <v>4031</v>
      </c>
      <c r="HNM3" t="s">
        <v>4032</v>
      </c>
      <c r="HNN3" t="s">
        <v>4033</v>
      </c>
      <c r="HNO3" t="s">
        <v>4034</v>
      </c>
      <c r="HNP3" t="s">
        <v>4035</v>
      </c>
      <c r="HNQ3" t="s">
        <v>4036</v>
      </c>
      <c r="HNR3" t="s">
        <v>44</v>
      </c>
      <c r="HNS3" t="s">
        <v>48</v>
      </c>
      <c r="HNT3" t="s">
        <v>896</v>
      </c>
      <c r="HNU3" t="s">
        <v>4037</v>
      </c>
      <c r="HNV3" t="s">
        <v>4038</v>
      </c>
      <c r="HNW3" t="s">
        <v>4039</v>
      </c>
      <c r="HNX3" t="s">
        <v>4040</v>
      </c>
      <c r="HNY3" t="s">
        <v>48</v>
      </c>
      <c r="HNZ3" t="s">
        <v>47</v>
      </c>
      <c r="HOA3" t="s">
        <v>310</v>
      </c>
      <c r="HOB3" t="s">
        <v>896</v>
      </c>
      <c r="HOC3" t="s">
        <v>4041</v>
      </c>
      <c r="HOD3" t="s">
        <v>4042</v>
      </c>
      <c r="HOE3" t="s">
        <v>44</v>
      </c>
      <c r="HOF3" t="s">
        <v>4043</v>
      </c>
      <c r="HOG3" t="s">
        <v>4044</v>
      </c>
      <c r="HOH3" t="s">
        <v>4045</v>
      </c>
      <c r="HOI3" t="s">
        <v>44</v>
      </c>
      <c r="HOJ3" t="s">
        <v>333</v>
      </c>
      <c r="HOK3" t="s">
        <v>4046</v>
      </c>
      <c r="HOL3" t="s">
        <v>2500</v>
      </c>
      <c r="HOM3" t="s">
        <v>4047</v>
      </c>
      <c r="HON3" t="s">
        <v>4048</v>
      </c>
      <c r="HOO3" t="s">
        <v>125</v>
      </c>
      <c r="HOP3" t="s">
        <v>4049</v>
      </c>
      <c r="HOQ3" t="s">
        <v>4050</v>
      </c>
      <c r="HOR3" t="s">
        <v>4051</v>
      </c>
      <c r="HOS3" t="s">
        <v>4052</v>
      </c>
      <c r="HOT3" t="s">
        <v>4053</v>
      </c>
      <c r="HOU3" t="s">
        <v>4054</v>
      </c>
      <c r="HOV3" t="s">
        <v>4055</v>
      </c>
      <c r="HOW3" t="s">
        <v>4056</v>
      </c>
      <c r="HOX3" t="s">
        <v>4057</v>
      </c>
      <c r="HOY3" t="s">
        <v>4058</v>
      </c>
      <c r="HOZ3" t="s">
        <v>4059</v>
      </c>
      <c r="HPA3" t="s">
        <v>4060</v>
      </c>
      <c r="HPB3" t="s">
        <v>4055</v>
      </c>
      <c r="HPC3" t="s">
        <v>4061</v>
      </c>
      <c r="HPD3" t="s">
        <v>4057</v>
      </c>
      <c r="HPE3" t="s">
        <v>4062</v>
      </c>
      <c r="HPF3" t="s">
        <v>4063</v>
      </c>
      <c r="HPG3" t="s">
        <v>4064</v>
      </c>
      <c r="HPH3" t="s">
        <v>4065</v>
      </c>
      <c r="HPI3" t="s">
        <v>4066</v>
      </c>
      <c r="HPJ3" t="s">
        <v>4067</v>
      </c>
      <c r="HPK3" t="s">
        <v>4068</v>
      </c>
      <c r="HPL3" t="s">
        <v>4069</v>
      </c>
      <c r="HPM3" t="s">
        <v>4070</v>
      </c>
      <c r="HPN3" t="s">
        <v>4071</v>
      </c>
      <c r="HPO3" t="s">
        <v>4072</v>
      </c>
      <c r="HPP3" t="s">
        <v>4073</v>
      </c>
      <c r="HPQ3" t="s">
        <v>4074</v>
      </c>
      <c r="HPR3" t="s">
        <v>4075</v>
      </c>
      <c r="HPS3" t="s">
        <v>4076</v>
      </c>
      <c r="HPT3">
        <v>0</v>
      </c>
      <c r="HPU3" t="s">
        <v>4077</v>
      </c>
      <c r="HPV3" t="s">
        <v>513</v>
      </c>
      <c r="HPW3" t="s">
        <v>4078</v>
      </c>
      <c r="HPX3" t="s">
        <v>4079</v>
      </c>
      <c r="HPY3" t="s">
        <v>1475</v>
      </c>
      <c r="HPZ3" t="s">
        <v>4080</v>
      </c>
      <c r="HQA3" t="s">
        <v>4081</v>
      </c>
      <c r="HQB3" t="s">
        <v>1503</v>
      </c>
      <c r="HQC3" t="s">
        <v>4082</v>
      </c>
      <c r="HQD3" t="s">
        <v>2519</v>
      </c>
      <c r="HQE3" t="s">
        <v>4083</v>
      </c>
      <c r="HQF3" t="s">
        <v>4084</v>
      </c>
      <c r="HQG3" t="s">
        <v>4085</v>
      </c>
      <c r="HQH3" t="s">
        <v>4086</v>
      </c>
      <c r="HQI3" t="s">
        <v>4087</v>
      </c>
      <c r="HQJ3" t="s">
        <v>4088</v>
      </c>
      <c r="HQK3" t="s">
        <v>4089</v>
      </c>
      <c r="HQL3" t="s">
        <v>932</v>
      </c>
      <c r="HQM3" t="s">
        <v>4090</v>
      </c>
      <c r="HQN3" t="s">
        <v>4091</v>
      </c>
      <c r="HQO3" t="s">
        <v>4092</v>
      </c>
      <c r="HQP3" t="s">
        <v>4093</v>
      </c>
      <c r="HQQ3" t="s">
        <v>4094</v>
      </c>
      <c r="HQR3" t="s">
        <v>4095</v>
      </c>
      <c r="HQS3" t="s">
        <v>4096</v>
      </c>
      <c r="HQT3" t="s">
        <v>4097</v>
      </c>
      <c r="HQU3" t="s">
        <v>4098</v>
      </c>
      <c r="HQV3" t="s">
        <v>4099</v>
      </c>
      <c r="HQW3" t="s">
        <v>4100</v>
      </c>
      <c r="HQX3" t="s">
        <v>4101</v>
      </c>
      <c r="HQY3" t="s">
        <v>4102</v>
      </c>
      <c r="HQZ3" t="s">
        <v>4103</v>
      </c>
      <c r="HRA3" t="s">
        <v>4104</v>
      </c>
      <c r="HRB3" t="s">
        <v>4105</v>
      </c>
      <c r="HRC3" t="s">
        <v>4106</v>
      </c>
      <c r="HRD3" t="s">
        <v>4107</v>
      </c>
      <c r="HRE3" t="s">
        <v>4108</v>
      </c>
      <c r="HRF3" t="s">
        <v>4109</v>
      </c>
      <c r="HRG3" t="s">
        <v>4110</v>
      </c>
      <c r="HRH3" t="s">
        <v>4111</v>
      </c>
      <c r="HRI3" t="s">
        <v>4112</v>
      </c>
      <c r="HRJ3" t="s">
        <v>4113</v>
      </c>
      <c r="HRK3" t="s">
        <v>4114</v>
      </c>
      <c r="HRL3" t="s">
        <v>4115</v>
      </c>
      <c r="HRM3" t="s">
        <v>44</v>
      </c>
      <c r="HRN3" t="s">
        <v>775</v>
      </c>
      <c r="HRO3" t="s">
        <v>4116</v>
      </c>
      <c r="HRP3" t="s">
        <v>4117</v>
      </c>
      <c r="HRQ3" t="s">
        <v>4118</v>
      </c>
      <c r="HRR3" t="s">
        <v>4119</v>
      </c>
      <c r="HRS3" t="s">
        <v>4120</v>
      </c>
      <c r="HRT3" t="s">
        <v>4121</v>
      </c>
      <c r="HRU3" t="s">
        <v>4122</v>
      </c>
      <c r="HRV3" t="s">
        <v>44</v>
      </c>
      <c r="HRW3" t="s">
        <v>2659</v>
      </c>
      <c r="HRX3" t="s">
        <v>4123</v>
      </c>
      <c r="HRY3" t="s">
        <v>4124</v>
      </c>
      <c r="HRZ3" t="s">
        <v>808</v>
      </c>
      <c r="HSA3" t="s">
        <v>4125</v>
      </c>
      <c r="HSB3" t="s">
        <v>172</v>
      </c>
      <c r="HSC3" t="s">
        <v>4125</v>
      </c>
      <c r="HSD3" t="s">
        <v>3813</v>
      </c>
      <c r="HSE3" t="s">
        <v>4126</v>
      </c>
      <c r="HSF3" t="s">
        <v>4125</v>
      </c>
      <c r="HSG3" t="s">
        <v>170</v>
      </c>
      <c r="HSH3" t="s">
        <v>142</v>
      </c>
      <c r="HSI3" t="s">
        <v>2489</v>
      </c>
      <c r="HSJ3" t="s">
        <v>4125</v>
      </c>
      <c r="HSK3" t="s">
        <v>4127</v>
      </c>
      <c r="HSL3" t="s">
        <v>4128</v>
      </c>
      <c r="HSM3" t="s">
        <v>4129</v>
      </c>
      <c r="HSN3" t="s">
        <v>4130</v>
      </c>
      <c r="HSO3" t="s">
        <v>4131</v>
      </c>
      <c r="HSP3" t="s">
        <v>4132</v>
      </c>
      <c r="HSQ3" t="s">
        <v>4125</v>
      </c>
      <c r="HSR3" t="s">
        <v>4133</v>
      </c>
      <c r="HSS3" t="s">
        <v>4134</v>
      </c>
      <c r="HST3" t="s">
        <v>4135</v>
      </c>
      <c r="HSU3" t="s">
        <v>4136</v>
      </c>
      <c r="HSV3" t="s">
        <v>4125</v>
      </c>
      <c r="HSW3" t="s">
        <v>4137</v>
      </c>
      <c r="HSX3" t="s">
        <v>142</v>
      </c>
      <c r="HSY3" t="s">
        <v>2486</v>
      </c>
      <c r="HSZ3" t="s">
        <v>4125</v>
      </c>
      <c r="HTA3" t="s">
        <v>4138</v>
      </c>
      <c r="HTB3" t="s">
        <v>142</v>
      </c>
      <c r="HTC3" t="s">
        <v>4125</v>
      </c>
      <c r="HTD3" t="s">
        <v>4139</v>
      </c>
      <c r="HTE3" t="s">
        <v>138</v>
      </c>
      <c r="HTF3" t="s">
        <v>139</v>
      </c>
      <c r="HTG3" t="s">
        <v>4140</v>
      </c>
      <c r="HTH3" t="s">
        <v>4125</v>
      </c>
      <c r="HTI3" t="s">
        <v>4141</v>
      </c>
      <c r="HTJ3" t="s">
        <v>4142</v>
      </c>
      <c r="HTK3" t="s">
        <v>2489</v>
      </c>
      <c r="HTL3" t="s">
        <v>4125</v>
      </c>
      <c r="HTM3" t="s">
        <v>4143</v>
      </c>
      <c r="HTN3" t="s">
        <v>4144</v>
      </c>
      <c r="HTO3" t="s">
        <v>4145</v>
      </c>
      <c r="HTP3" t="s">
        <v>4146</v>
      </c>
      <c r="HTQ3" t="s">
        <v>4125</v>
      </c>
      <c r="HTR3" t="s">
        <v>4147</v>
      </c>
      <c r="HTS3" t="s">
        <v>4148</v>
      </c>
      <c r="HTT3" t="s">
        <v>4149</v>
      </c>
      <c r="HTU3" t="s">
        <v>4125</v>
      </c>
      <c r="HTV3" t="s">
        <v>4150</v>
      </c>
      <c r="HTW3" t="s">
        <v>4151</v>
      </c>
      <c r="HTX3" t="s">
        <v>4152</v>
      </c>
      <c r="HTY3" t="s">
        <v>3794</v>
      </c>
      <c r="HTZ3" t="s">
        <v>4153</v>
      </c>
      <c r="HUA3" t="s">
        <v>4125</v>
      </c>
      <c r="HUB3" t="s">
        <v>4154</v>
      </c>
      <c r="HUC3" t="s">
        <v>4151</v>
      </c>
      <c r="HUD3" t="s">
        <v>4152</v>
      </c>
      <c r="HUE3" t="s">
        <v>3794</v>
      </c>
      <c r="HUF3" t="s">
        <v>4155</v>
      </c>
      <c r="HUG3" t="s">
        <v>4125</v>
      </c>
      <c r="HUH3" t="s">
        <v>4156</v>
      </c>
      <c r="HUI3" t="s">
        <v>4157</v>
      </c>
      <c r="HUJ3" t="s">
        <v>4158</v>
      </c>
      <c r="HUK3" t="s">
        <v>4159</v>
      </c>
      <c r="HUL3" t="s">
        <v>4125</v>
      </c>
      <c r="HUM3" t="s">
        <v>4160</v>
      </c>
      <c r="HUN3" t="s">
        <v>4125</v>
      </c>
      <c r="HUO3" t="s">
        <v>149</v>
      </c>
      <c r="HUP3" t="s">
        <v>150</v>
      </c>
      <c r="HUQ3" t="s">
        <v>151</v>
      </c>
      <c r="HUR3" t="s">
        <v>152</v>
      </c>
      <c r="HUS3" t="s">
        <v>153</v>
      </c>
      <c r="HUT3" t="s">
        <v>154</v>
      </c>
      <c r="HUU3" t="s">
        <v>4161</v>
      </c>
      <c r="HUV3" t="s">
        <v>4162</v>
      </c>
      <c r="HUW3" t="s">
        <v>156</v>
      </c>
      <c r="HUX3" t="s">
        <v>3883</v>
      </c>
      <c r="HUY3" t="s">
        <v>3994</v>
      </c>
      <c r="HUZ3" t="s">
        <v>4125</v>
      </c>
      <c r="HVA3" t="s">
        <v>4163</v>
      </c>
      <c r="HVB3" t="s">
        <v>4125</v>
      </c>
      <c r="HVC3" t="s">
        <v>161</v>
      </c>
      <c r="HVD3" t="s">
        <v>150</v>
      </c>
      <c r="HVE3" t="s">
        <v>151</v>
      </c>
      <c r="HVF3" t="s">
        <v>152</v>
      </c>
      <c r="HVG3" t="s">
        <v>153</v>
      </c>
      <c r="HVH3" t="s">
        <v>162</v>
      </c>
      <c r="HVI3" t="s">
        <v>4161</v>
      </c>
      <c r="HVJ3" t="s">
        <v>221</v>
      </c>
      <c r="HVK3" t="s">
        <v>164</v>
      </c>
      <c r="HVL3" t="s">
        <v>226</v>
      </c>
      <c r="HVM3" t="s">
        <v>4125</v>
      </c>
      <c r="HVN3" t="s">
        <v>4164</v>
      </c>
      <c r="HVO3" t="s">
        <v>3806</v>
      </c>
      <c r="HVP3" t="s">
        <v>4165</v>
      </c>
      <c r="HVQ3" t="s">
        <v>163</v>
      </c>
      <c r="HVR3" t="s">
        <v>164</v>
      </c>
      <c r="HVS3" t="s">
        <v>226</v>
      </c>
      <c r="HVT3" t="s">
        <v>4166</v>
      </c>
      <c r="HVU3" t="s">
        <v>4125</v>
      </c>
      <c r="HVV3" t="s">
        <v>4167</v>
      </c>
      <c r="HVW3" t="s">
        <v>1430</v>
      </c>
      <c r="HVX3" t="s">
        <v>4125</v>
      </c>
      <c r="HVY3" t="s">
        <v>4127</v>
      </c>
      <c r="HVZ3" t="s">
        <v>219</v>
      </c>
      <c r="HWA3" t="s">
        <v>163</v>
      </c>
      <c r="HWB3" t="s">
        <v>4162</v>
      </c>
      <c r="HWC3" t="s">
        <v>4168</v>
      </c>
      <c r="HWD3" t="s">
        <v>4169</v>
      </c>
      <c r="HWE3" t="s">
        <v>4170</v>
      </c>
      <c r="HWF3" t="s">
        <v>4125</v>
      </c>
      <c r="HWG3" t="s">
        <v>4125</v>
      </c>
      <c r="HWH3" t="s">
        <v>4171</v>
      </c>
      <c r="HWI3" t="s">
        <v>4172</v>
      </c>
      <c r="HWJ3" t="s">
        <v>4173</v>
      </c>
      <c r="HWK3" t="s">
        <v>4174</v>
      </c>
      <c r="HWL3" t="s">
        <v>4175</v>
      </c>
      <c r="HWM3" t="s">
        <v>4176</v>
      </c>
      <c r="HWN3" t="s">
        <v>4177</v>
      </c>
      <c r="HWO3" t="s">
        <v>4178</v>
      </c>
      <c r="HWP3" t="s">
        <v>4179</v>
      </c>
      <c r="HWQ3" t="s">
        <v>4180</v>
      </c>
      <c r="HWR3" t="s">
        <v>4181</v>
      </c>
      <c r="HWS3" t="s">
        <v>4182</v>
      </c>
      <c r="HWT3" t="s">
        <v>44</v>
      </c>
      <c r="HWU3" t="s">
        <v>2708</v>
      </c>
      <c r="HWV3" t="s">
        <v>836</v>
      </c>
      <c r="HWW3" t="s">
        <v>4183</v>
      </c>
      <c r="HWX3" t="s">
        <v>4184</v>
      </c>
      <c r="HWY3" t="s">
        <v>4185</v>
      </c>
      <c r="HWZ3" t="s">
        <v>4186</v>
      </c>
      <c r="HXA3" t="s">
        <v>4187</v>
      </c>
      <c r="HXB3" t="s">
        <v>44</v>
      </c>
      <c r="HXC3" t="s">
        <v>125</v>
      </c>
      <c r="HXD3" t="s">
        <v>4188</v>
      </c>
      <c r="HXE3" t="s">
        <v>4189</v>
      </c>
      <c r="HXF3" t="s">
        <v>4190</v>
      </c>
      <c r="HXG3" t="s">
        <v>4191</v>
      </c>
      <c r="HXH3" t="s">
        <v>310</v>
      </c>
      <c r="HXI3" t="s">
        <v>511</v>
      </c>
      <c r="HXJ3" t="s">
        <v>255</v>
      </c>
      <c r="HXK3" t="s">
        <v>4192</v>
      </c>
      <c r="HXL3" t="s">
        <v>4193</v>
      </c>
      <c r="HXM3" t="s">
        <v>4194</v>
      </c>
      <c r="HXN3" t="s">
        <v>4195</v>
      </c>
      <c r="HXO3" t="s">
        <v>4196</v>
      </c>
      <c r="HXP3" t="s">
        <v>4197</v>
      </c>
      <c r="HXQ3" t="s">
        <v>4198</v>
      </c>
      <c r="HXR3" t="s">
        <v>4199</v>
      </c>
      <c r="HXS3" t="s">
        <v>4200</v>
      </c>
      <c r="HXT3" t="s">
        <v>126</v>
      </c>
      <c r="HXU3" t="s">
        <v>1503</v>
      </c>
      <c r="HXV3" t="s">
        <v>255</v>
      </c>
      <c r="HXW3" t="s">
        <v>4201</v>
      </c>
      <c r="HXX3" t="s">
        <v>4202</v>
      </c>
      <c r="HXY3" t="s">
        <v>4203</v>
      </c>
      <c r="HXZ3" t="s">
        <v>4204</v>
      </c>
      <c r="HYA3" t="s">
        <v>932</v>
      </c>
      <c r="HYB3" t="s">
        <v>4205</v>
      </c>
      <c r="HYC3" t="s">
        <v>4206</v>
      </c>
      <c r="HYD3" t="s">
        <v>4207</v>
      </c>
      <c r="HYE3" t="s">
        <v>4208</v>
      </c>
      <c r="HYF3" t="s">
        <v>4209</v>
      </c>
      <c r="HYG3" t="s">
        <v>4210</v>
      </c>
      <c r="HYH3" t="s">
        <v>4211</v>
      </c>
      <c r="HYI3" t="s">
        <v>4212</v>
      </c>
      <c r="HYJ3" t="s">
        <v>4213</v>
      </c>
      <c r="HYK3" t="s">
        <v>4214</v>
      </c>
      <c r="HYL3" t="s">
        <v>4215</v>
      </c>
      <c r="HYM3" t="s">
        <v>4216</v>
      </c>
      <c r="HYN3" t="s">
        <v>4217</v>
      </c>
      <c r="HYO3" t="s">
        <v>4213</v>
      </c>
      <c r="HYP3" t="s">
        <v>4218</v>
      </c>
      <c r="HYQ3" t="s">
        <v>4219</v>
      </c>
      <c r="HYR3" t="s">
        <v>4220</v>
      </c>
      <c r="HYS3" t="s">
        <v>125</v>
      </c>
      <c r="HYT3" t="s">
        <v>48</v>
      </c>
      <c r="HYU3" t="s">
        <v>4221</v>
      </c>
      <c r="HYV3" t="s">
        <v>4222</v>
      </c>
      <c r="HYW3" t="s">
        <v>4223</v>
      </c>
      <c r="HYX3" t="s">
        <v>4224</v>
      </c>
      <c r="HYY3" t="s">
        <v>4225</v>
      </c>
      <c r="HYZ3" t="s">
        <v>921</v>
      </c>
      <c r="HZA3" t="s">
        <v>3638</v>
      </c>
      <c r="HZB3" t="s">
        <v>4226</v>
      </c>
      <c r="HZC3" t="s">
        <v>4227</v>
      </c>
      <c r="HZD3" t="s">
        <v>4228</v>
      </c>
      <c r="HZE3" t="s">
        <v>4229</v>
      </c>
      <c r="HZF3" t="s">
        <v>4230</v>
      </c>
      <c r="HZG3" t="s">
        <v>4231</v>
      </c>
      <c r="HZH3" t="s">
        <v>4232</v>
      </c>
      <c r="HZI3" t="s">
        <v>4233</v>
      </c>
      <c r="HZJ3" t="s">
        <v>4234</v>
      </c>
      <c r="HZK3" t="s">
        <v>4235</v>
      </c>
      <c r="HZL3" t="s">
        <v>4236</v>
      </c>
      <c r="HZM3" t="s">
        <v>4237</v>
      </c>
      <c r="HZN3" t="s">
        <v>4238</v>
      </c>
      <c r="HZO3" t="s">
        <v>4239</v>
      </c>
      <c r="HZP3" t="s">
        <v>310</v>
      </c>
      <c r="HZQ3" t="s">
        <v>278</v>
      </c>
      <c r="HZR3" t="s">
        <v>4240</v>
      </c>
      <c r="HZS3" t="s">
        <v>4241</v>
      </c>
      <c r="HZT3" t="s">
        <v>4242</v>
      </c>
      <c r="HZU3" t="s">
        <v>4243</v>
      </c>
      <c r="HZV3" t="s">
        <v>282</v>
      </c>
      <c r="HZW3" t="s">
        <v>4239</v>
      </c>
      <c r="HZX3" t="s">
        <v>310</v>
      </c>
      <c r="HZY3" t="s">
        <v>283</v>
      </c>
      <c r="HZZ3" t="s">
        <v>4240</v>
      </c>
      <c r="IAA3" t="s">
        <v>4244</v>
      </c>
      <c r="IAB3" t="s">
        <v>4245</v>
      </c>
      <c r="IAC3" t="s">
        <v>4246</v>
      </c>
      <c r="IAD3" t="s">
        <v>287</v>
      </c>
      <c r="IAE3" t="s">
        <v>4247</v>
      </c>
      <c r="IAF3" t="s">
        <v>292</v>
      </c>
      <c r="IAG3" t="s">
        <v>4248</v>
      </c>
      <c r="IAH3" t="s">
        <v>4249</v>
      </c>
      <c r="IAI3" t="s">
        <v>4250</v>
      </c>
      <c r="IAJ3" t="s">
        <v>4251</v>
      </c>
      <c r="IAK3" t="s">
        <v>4252</v>
      </c>
      <c r="IAL3" t="s">
        <v>4253</v>
      </c>
      <c r="IAM3" t="s">
        <v>4254</v>
      </c>
      <c r="IAN3" t="s">
        <v>4255</v>
      </c>
      <c r="IAO3" t="s">
        <v>4256</v>
      </c>
      <c r="IAP3" t="s">
        <v>4257</v>
      </c>
      <c r="IAQ3" t="s">
        <v>4258</v>
      </c>
      <c r="IAR3" t="s">
        <v>4259</v>
      </c>
      <c r="IAS3" t="s">
        <v>329</v>
      </c>
      <c r="IAT3" t="s">
        <v>4260</v>
      </c>
      <c r="IAU3" t="s">
        <v>4261</v>
      </c>
      <c r="IAV3" t="s">
        <v>310</v>
      </c>
      <c r="IAW3" t="s">
        <v>295</v>
      </c>
      <c r="IAX3" t="s">
        <v>296</v>
      </c>
      <c r="IAY3" t="s">
        <v>4262</v>
      </c>
      <c r="IAZ3" t="s">
        <v>4263</v>
      </c>
      <c r="IBA3" t="s">
        <v>1309</v>
      </c>
      <c r="IBB3" t="s">
        <v>4264</v>
      </c>
      <c r="IBC3" t="s">
        <v>328</v>
      </c>
      <c r="IBD3" t="s">
        <v>4265</v>
      </c>
      <c r="IBE3" t="s">
        <v>44</v>
      </c>
      <c r="IBF3" t="s">
        <v>429</v>
      </c>
      <c r="IBG3" t="s">
        <v>4266</v>
      </c>
      <c r="IBH3" t="s">
        <v>4267</v>
      </c>
      <c r="IBI3" t="s">
        <v>4268</v>
      </c>
      <c r="IBJ3" t="s">
        <v>4269</v>
      </c>
      <c r="IBK3" t="s">
        <v>4270</v>
      </c>
      <c r="IBL3" t="s">
        <v>4271</v>
      </c>
      <c r="IBM3" t="s">
        <v>4272</v>
      </c>
      <c r="IBN3" t="s">
        <v>255</v>
      </c>
      <c r="IBO3" t="s">
        <v>44</v>
      </c>
      <c r="IBP3" t="s">
        <v>1352</v>
      </c>
      <c r="IBQ3" t="s">
        <v>4273</v>
      </c>
      <c r="IBR3" t="s">
        <v>4274</v>
      </c>
      <c r="IBS3" t="s">
        <v>4275</v>
      </c>
      <c r="IBT3" t="s">
        <v>44</v>
      </c>
      <c r="IBU3" t="s">
        <v>333</v>
      </c>
      <c r="IBV3" t="s">
        <v>836</v>
      </c>
      <c r="IBW3" t="s">
        <v>335</v>
      </c>
      <c r="IBX3" t="s">
        <v>336</v>
      </c>
      <c r="IBY3" t="s">
        <v>4276</v>
      </c>
      <c r="IBZ3" t="s">
        <v>338</v>
      </c>
      <c r="ICA3" t="s">
        <v>4277</v>
      </c>
      <c r="ICB3" t="s">
        <v>4278</v>
      </c>
      <c r="ICC3" t="s">
        <v>2795</v>
      </c>
      <c r="ICD3" t="s">
        <v>4279</v>
      </c>
      <c r="ICE3" t="s">
        <v>4280</v>
      </c>
      <c r="ICF3" t="s">
        <v>4281</v>
      </c>
      <c r="ICG3" t="s">
        <v>4282</v>
      </c>
      <c r="ICH3" t="s">
        <v>4283</v>
      </c>
      <c r="ICI3" t="s">
        <v>4284</v>
      </c>
      <c r="ICJ3" t="s">
        <v>4285</v>
      </c>
      <c r="ICK3" t="s">
        <v>4286</v>
      </c>
      <c r="ICL3" t="s">
        <v>4287</v>
      </c>
      <c r="ICM3" t="s">
        <v>4288</v>
      </c>
      <c r="ICN3" t="s">
        <v>4289</v>
      </c>
      <c r="ICO3" t="s">
        <v>2132</v>
      </c>
      <c r="ICP3" t="s">
        <v>511</v>
      </c>
      <c r="ICQ3" t="s">
        <v>4290</v>
      </c>
      <c r="ICR3" t="s">
        <v>4291</v>
      </c>
      <c r="ICS3" t="s">
        <v>4292</v>
      </c>
      <c r="ICT3" t="s">
        <v>4293</v>
      </c>
      <c r="ICU3" t="s">
        <v>4294</v>
      </c>
      <c r="ICV3" t="s">
        <v>4295</v>
      </c>
      <c r="ICW3" t="s">
        <v>4296</v>
      </c>
      <c r="ICX3" t="s">
        <v>4297</v>
      </c>
      <c r="ICY3" t="s">
        <v>4298</v>
      </c>
      <c r="ICZ3" t="s">
        <v>4299</v>
      </c>
      <c r="IDA3" t="s">
        <v>4300</v>
      </c>
      <c r="IDB3" t="s">
        <v>4301</v>
      </c>
      <c r="IDC3" t="s">
        <v>4302</v>
      </c>
      <c r="IDD3" t="s">
        <v>4303</v>
      </c>
      <c r="IDE3" t="s">
        <v>4304</v>
      </c>
      <c r="IDF3" t="s">
        <v>4305</v>
      </c>
      <c r="IDG3" t="s">
        <v>4306</v>
      </c>
      <c r="IDH3" t="s">
        <v>4307</v>
      </c>
      <c r="IDI3" t="s">
        <v>4308</v>
      </c>
      <c r="IDJ3" t="s">
        <v>4309</v>
      </c>
      <c r="IDK3" t="s">
        <v>4310</v>
      </c>
      <c r="IDL3" t="s">
        <v>4311</v>
      </c>
      <c r="IDM3" t="s">
        <v>4312</v>
      </c>
      <c r="IDN3" t="s">
        <v>4313</v>
      </c>
      <c r="IDO3" t="s">
        <v>4314</v>
      </c>
      <c r="IDP3" t="s">
        <v>4315</v>
      </c>
      <c r="IDQ3" t="s">
        <v>4316</v>
      </c>
      <c r="IDR3" t="s">
        <v>4317</v>
      </c>
      <c r="IDS3" t="s">
        <v>4318</v>
      </c>
      <c r="IDT3" t="s">
        <v>310</v>
      </c>
      <c r="IDU3" t="s">
        <v>4319</v>
      </c>
      <c r="IDV3" t="s">
        <v>4320</v>
      </c>
      <c r="IDW3" t="s">
        <v>4321</v>
      </c>
      <c r="IDX3" t="s">
        <v>4322</v>
      </c>
      <c r="IDY3" t="s">
        <v>393</v>
      </c>
      <c r="IDZ3" t="s">
        <v>1347</v>
      </c>
      <c r="IEA3" t="s">
        <v>4323</v>
      </c>
      <c r="IEB3" t="s">
        <v>4324</v>
      </c>
      <c r="IEC3" t="s">
        <v>4325</v>
      </c>
      <c r="IED3" t="s">
        <v>4326</v>
      </c>
      <c r="IEE3" t="s">
        <v>125</v>
      </c>
      <c r="IEF3" t="s">
        <v>4327</v>
      </c>
      <c r="IEG3" t="s">
        <v>4328</v>
      </c>
      <c r="IEH3" t="s">
        <v>390</v>
      </c>
      <c r="IEI3" t="s">
        <v>4329</v>
      </c>
      <c r="IEJ3" t="s">
        <v>4330</v>
      </c>
      <c r="IEK3" t="s">
        <v>4331</v>
      </c>
      <c r="IEL3" t="s">
        <v>4332</v>
      </c>
      <c r="IEM3" t="s">
        <v>4333</v>
      </c>
      <c r="IEN3" t="s">
        <v>4334</v>
      </c>
      <c r="IEO3" t="s">
        <v>4335</v>
      </c>
      <c r="IEP3" t="s">
        <v>393</v>
      </c>
      <c r="IEQ3" t="s">
        <v>4336</v>
      </c>
      <c r="IER3" t="s">
        <v>4337</v>
      </c>
      <c r="IES3" t="s">
        <v>4338</v>
      </c>
      <c r="IET3" t="s">
        <v>4339</v>
      </c>
      <c r="IEU3" t="s">
        <v>3221</v>
      </c>
      <c r="IEV3" t="s">
        <v>4340</v>
      </c>
      <c r="IEW3" t="s">
        <v>4341</v>
      </c>
      <c r="IEX3" t="s">
        <v>4342</v>
      </c>
      <c r="IEY3" t="s">
        <v>4343</v>
      </c>
      <c r="IEZ3" t="s">
        <v>4344</v>
      </c>
      <c r="IFA3" t="s">
        <v>255</v>
      </c>
      <c r="IFB3" t="s">
        <v>310</v>
      </c>
      <c r="IFC3" t="s">
        <v>4345</v>
      </c>
      <c r="IFD3" t="s">
        <v>390</v>
      </c>
      <c r="IFE3" t="s">
        <v>4346</v>
      </c>
      <c r="IFF3" t="s">
        <v>4347</v>
      </c>
      <c r="IFG3" t="s">
        <v>4348</v>
      </c>
      <c r="IFH3" t="s">
        <v>4349</v>
      </c>
      <c r="IFI3" t="s">
        <v>4350</v>
      </c>
      <c r="IFJ3" t="s">
        <v>4351</v>
      </c>
      <c r="IFK3" t="s">
        <v>4352</v>
      </c>
      <c r="IFL3" t="s">
        <v>4353</v>
      </c>
      <c r="IFM3" t="s">
        <v>4354</v>
      </c>
      <c r="IFN3" t="s">
        <v>4355</v>
      </c>
      <c r="IFO3" t="s">
        <v>4356</v>
      </c>
      <c r="IFP3" t="s">
        <v>255</v>
      </c>
      <c r="IFQ3" t="s">
        <v>4357</v>
      </c>
      <c r="IFR3" t="s">
        <v>255</v>
      </c>
      <c r="IFS3" t="s">
        <v>4358</v>
      </c>
      <c r="IFT3" t="s">
        <v>255</v>
      </c>
      <c r="IFU3" t="s">
        <v>4359</v>
      </c>
      <c r="IFV3" t="s">
        <v>4360</v>
      </c>
      <c r="IFW3" t="s">
        <v>4361</v>
      </c>
      <c r="IFX3" t="s">
        <v>44</v>
      </c>
      <c r="IFY3" t="s">
        <v>125</v>
      </c>
      <c r="IFZ3" t="s">
        <v>4362</v>
      </c>
      <c r="IGA3" t="s">
        <v>4363</v>
      </c>
      <c r="IGB3" t="s">
        <v>4364</v>
      </c>
      <c r="IGC3" t="s">
        <v>4365</v>
      </c>
      <c r="IGD3" t="s">
        <v>4366</v>
      </c>
      <c r="IGE3" t="s">
        <v>4367</v>
      </c>
      <c r="IGF3" t="s">
        <v>4368</v>
      </c>
      <c r="IGG3" t="s">
        <v>4369</v>
      </c>
      <c r="IGH3" t="s">
        <v>4370</v>
      </c>
      <c r="IGI3" t="s">
        <v>4371</v>
      </c>
      <c r="IGJ3" t="s">
        <v>4372</v>
      </c>
      <c r="IGK3" t="s">
        <v>4373</v>
      </c>
      <c r="IGL3" t="s">
        <v>4374</v>
      </c>
      <c r="IGM3" t="s">
        <v>4375</v>
      </c>
      <c r="IGN3" t="s">
        <v>4376</v>
      </c>
      <c r="IGO3" t="s">
        <v>4377</v>
      </c>
      <c r="IGP3" t="s">
        <v>4378</v>
      </c>
      <c r="IGQ3" t="s">
        <v>4379</v>
      </c>
      <c r="IGR3" t="s">
        <v>4380</v>
      </c>
      <c r="IGS3" t="s">
        <v>4381</v>
      </c>
      <c r="IGT3" t="s">
        <v>4382</v>
      </c>
      <c r="IGU3" t="s">
        <v>4383</v>
      </c>
      <c r="IGV3" t="s">
        <v>4384</v>
      </c>
      <c r="IGW3" t="s">
        <v>4385</v>
      </c>
      <c r="IGX3" t="s">
        <v>4386</v>
      </c>
      <c r="IGY3" t="s">
        <v>4387</v>
      </c>
      <c r="IGZ3" t="s">
        <v>4388</v>
      </c>
      <c r="IHA3" t="s">
        <v>4389</v>
      </c>
      <c r="IHB3" t="s">
        <v>4390</v>
      </c>
      <c r="IHC3" t="s">
        <v>4391</v>
      </c>
      <c r="IHD3" t="s">
        <v>4392</v>
      </c>
      <c r="IHE3" t="s">
        <v>4393</v>
      </c>
      <c r="IHF3">
        <v>0</v>
      </c>
      <c r="IHG3" t="s">
        <v>4394</v>
      </c>
      <c r="IHH3" t="s">
        <v>4395</v>
      </c>
      <c r="IHI3" t="s">
        <v>4396</v>
      </c>
      <c r="IHJ3" t="s">
        <v>4397</v>
      </c>
      <c r="IHK3" t="s">
        <v>4398</v>
      </c>
      <c r="IHL3" t="s">
        <v>4399</v>
      </c>
      <c r="IHM3" t="s">
        <v>4400</v>
      </c>
      <c r="IHN3" t="s">
        <v>4401</v>
      </c>
      <c r="IHO3" t="s">
        <v>46</v>
      </c>
      <c r="IHP3" t="s">
        <v>4402</v>
      </c>
      <c r="IHQ3" t="s">
        <v>1882</v>
      </c>
      <c r="IHR3" t="s">
        <v>4403</v>
      </c>
      <c r="IHS3" t="s">
        <v>4404</v>
      </c>
      <c r="IHT3" t="s">
        <v>4405</v>
      </c>
      <c r="IHU3" t="s">
        <v>4406</v>
      </c>
      <c r="IHV3" t="s">
        <v>4407</v>
      </c>
      <c r="IHW3" t="s">
        <v>46</v>
      </c>
      <c r="IHX3" t="s">
        <v>4408</v>
      </c>
      <c r="IHY3" t="s">
        <v>4409</v>
      </c>
      <c r="IHZ3" t="s">
        <v>4410</v>
      </c>
      <c r="IIA3" t="s">
        <v>4411</v>
      </c>
      <c r="IIB3" t="s">
        <v>4412</v>
      </c>
      <c r="IIC3" t="s">
        <v>4413</v>
      </c>
      <c r="IID3" t="s">
        <v>513</v>
      </c>
      <c r="IIE3" t="s">
        <v>4414</v>
      </c>
      <c r="IIF3" t="s">
        <v>4415</v>
      </c>
      <c r="IIG3" t="s">
        <v>4405</v>
      </c>
      <c r="IIH3" t="s">
        <v>4416</v>
      </c>
      <c r="III3" t="s">
        <v>4417</v>
      </c>
      <c r="IIJ3" t="s">
        <v>1882</v>
      </c>
      <c r="IIK3" t="s">
        <v>4418</v>
      </c>
      <c r="IIL3" t="s">
        <v>4419</v>
      </c>
      <c r="IIM3" t="s">
        <v>3314</v>
      </c>
      <c r="IIN3" t="s">
        <v>4420</v>
      </c>
      <c r="IIO3" t="s">
        <v>4421</v>
      </c>
      <c r="IIP3" t="s">
        <v>4422</v>
      </c>
      <c r="IIQ3" t="s">
        <v>4423</v>
      </c>
      <c r="IIR3" t="s">
        <v>4424</v>
      </c>
      <c r="IIS3" t="s">
        <v>4425</v>
      </c>
      <c r="IIT3" t="s">
        <v>4426</v>
      </c>
      <c r="IIU3" t="s">
        <v>4427</v>
      </c>
      <c r="IIV3" t="s">
        <v>4428</v>
      </c>
      <c r="IIW3" t="s">
        <v>4429</v>
      </c>
      <c r="IIX3" t="s">
        <v>46</v>
      </c>
      <c r="IIY3" t="s">
        <v>4408</v>
      </c>
      <c r="IIZ3" t="s">
        <v>4430</v>
      </c>
      <c r="IJA3" t="s">
        <v>4431</v>
      </c>
      <c r="IJB3" t="s">
        <v>4432</v>
      </c>
      <c r="IJC3" t="s">
        <v>4426</v>
      </c>
      <c r="IJD3" t="s">
        <v>4433</v>
      </c>
      <c r="IJE3" t="s">
        <v>4434</v>
      </c>
      <c r="IJF3" t="s">
        <v>4435</v>
      </c>
      <c r="IJG3" t="s">
        <v>4418</v>
      </c>
      <c r="IJH3" t="s">
        <v>4436</v>
      </c>
      <c r="IJI3" t="s">
        <v>4437</v>
      </c>
      <c r="IJJ3" t="s">
        <v>4438</v>
      </c>
      <c r="IJK3" t="s">
        <v>4439</v>
      </c>
      <c r="IJL3" t="s">
        <v>4440</v>
      </c>
      <c r="IJM3" t="s">
        <v>4441</v>
      </c>
      <c r="IJN3" t="s">
        <v>4442</v>
      </c>
      <c r="IJO3" t="s">
        <v>4443</v>
      </c>
      <c r="IJP3" t="s">
        <v>4444</v>
      </c>
      <c r="IJQ3" t="s">
        <v>4445</v>
      </c>
      <c r="IJR3" t="s">
        <v>4446</v>
      </c>
      <c r="IJS3" t="s">
        <v>4447</v>
      </c>
      <c r="IJT3" t="s">
        <v>4448</v>
      </c>
      <c r="IJU3" t="s">
        <v>4449</v>
      </c>
      <c r="IJV3" t="s">
        <v>4450</v>
      </c>
      <c r="IJW3" t="s">
        <v>4451</v>
      </c>
      <c r="IJX3" t="s">
        <v>4452</v>
      </c>
      <c r="IJY3" t="s">
        <v>4453</v>
      </c>
      <c r="IJZ3" t="s">
        <v>4454</v>
      </c>
      <c r="IKA3" t="s">
        <v>46</v>
      </c>
      <c r="IKB3" t="s">
        <v>4455</v>
      </c>
      <c r="IKC3" t="s">
        <v>4456</v>
      </c>
      <c r="IKD3">
        <v>0</v>
      </c>
      <c r="IKE3" t="s">
        <v>4457</v>
      </c>
      <c r="IKF3" t="s">
        <v>310</v>
      </c>
      <c r="IKG3" t="s">
        <v>4458</v>
      </c>
      <c r="IKH3" t="s">
        <v>4459</v>
      </c>
      <c r="IKI3" t="s">
        <v>3280</v>
      </c>
      <c r="IKJ3" t="s">
        <v>4460</v>
      </c>
      <c r="IKK3" t="s">
        <v>4461</v>
      </c>
      <c r="IKL3" t="s">
        <v>254</v>
      </c>
      <c r="IKM3" t="s">
        <v>1691</v>
      </c>
      <c r="IKN3" t="s">
        <v>1692</v>
      </c>
      <c r="IKO3" t="s">
        <v>4462</v>
      </c>
      <c r="IKP3" t="s">
        <v>4463</v>
      </c>
      <c r="IKQ3" t="s">
        <v>4464</v>
      </c>
      <c r="IKR3" t="s">
        <v>4465</v>
      </c>
      <c r="IKS3" t="s">
        <v>44</v>
      </c>
      <c r="IKT3" t="s">
        <v>4466</v>
      </c>
      <c r="IKU3" t="s">
        <v>4467</v>
      </c>
      <c r="IKV3" t="s">
        <v>4468</v>
      </c>
      <c r="IKW3" t="s">
        <v>4469</v>
      </c>
      <c r="IKX3" t="s">
        <v>4470</v>
      </c>
      <c r="IKY3" t="s">
        <v>4471</v>
      </c>
      <c r="IKZ3" t="s">
        <v>4472</v>
      </c>
      <c r="ILA3" t="s">
        <v>310</v>
      </c>
      <c r="ILB3" t="s">
        <v>292</v>
      </c>
      <c r="ILC3" t="s">
        <v>4473</v>
      </c>
      <c r="ILD3" t="s">
        <v>4474</v>
      </c>
      <c r="ILE3" t="s">
        <v>4475</v>
      </c>
      <c r="ILF3" t="s">
        <v>44</v>
      </c>
      <c r="ILG3" t="s">
        <v>125</v>
      </c>
      <c r="ILH3" t="s">
        <v>4476</v>
      </c>
      <c r="ILI3" t="s">
        <v>4477</v>
      </c>
      <c r="ILJ3" t="s">
        <v>4478</v>
      </c>
      <c r="ILK3" t="s">
        <v>4479</v>
      </c>
      <c r="ILL3" t="s">
        <v>4480</v>
      </c>
      <c r="ILM3" t="s">
        <v>4481</v>
      </c>
      <c r="ILN3" t="s">
        <v>4482</v>
      </c>
      <c r="ILO3" t="s">
        <v>4483</v>
      </c>
      <c r="ILP3" t="s">
        <v>4484</v>
      </c>
      <c r="ILQ3" t="s">
        <v>4485</v>
      </c>
      <c r="ILR3" t="s">
        <v>4486</v>
      </c>
      <c r="ILS3" t="s">
        <v>44</v>
      </c>
      <c r="ILT3" t="s">
        <v>4487</v>
      </c>
      <c r="ILU3" t="s">
        <v>4488</v>
      </c>
      <c r="ILV3" t="s">
        <v>4489</v>
      </c>
      <c r="ILW3" t="s">
        <v>4490</v>
      </c>
      <c r="ILX3" t="s">
        <v>4491</v>
      </c>
      <c r="ILY3" t="s">
        <v>4492</v>
      </c>
      <c r="ILZ3" t="s">
        <v>1347</v>
      </c>
      <c r="IMA3" t="s">
        <v>4493</v>
      </c>
      <c r="IMB3" t="s">
        <v>4494</v>
      </c>
      <c r="IMC3" t="s">
        <v>4495</v>
      </c>
      <c r="IMD3">
        <v>0</v>
      </c>
      <c r="IME3" t="s">
        <v>4496</v>
      </c>
      <c r="IMF3" t="s">
        <v>4497</v>
      </c>
      <c r="IMG3">
        <v>0</v>
      </c>
      <c r="IMH3" t="s">
        <v>4498</v>
      </c>
      <c r="IMI3" t="s">
        <v>4499</v>
      </c>
      <c r="IMJ3" t="s">
        <v>4500</v>
      </c>
      <c r="IMK3" t="s">
        <v>4493</v>
      </c>
      <c r="IML3" t="s">
        <v>4501</v>
      </c>
      <c r="IMM3" t="s">
        <v>1494</v>
      </c>
      <c r="IMN3" t="s">
        <v>4502</v>
      </c>
      <c r="IMO3" t="s">
        <v>1494</v>
      </c>
      <c r="IMP3" t="s">
        <v>4503</v>
      </c>
      <c r="IMQ3" t="s">
        <v>4504</v>
      </c>
      <c r="IMR3" t="s">
        <v>4505</v>
      </c>
      <c r="IMS3" t="s">
        <v>4506</v>
      </c>
      <c r="IMT3" t="s">
        <v>4507</v>
      </c>
      <c r="IMU3" t="s">
        <v>4508</v>
      </c>
      <c r="IMV3">
        <v>0</v>
      </c>
      <c r="IMW3" t="s">
        <v>4509</v>
      </c>
      <c r="IMX3" t="s">
        <v>4510</v>
      </c>
      <c r="IMY3" t="s">
        <v>4511</v>
      </c>
      <c r="IMZ3" t="s">
        <v>4512</v>
      </c>
      <c r="INA3" t="s">
        <v>4513</v>
      </c>
      <c r="INB3" t="s">
        <v>4514</v>
      </c>
      <c r="INC3" t="s">
        <v>125</v>
      </c>
      <c r="IND3" t="s">
        <v>2615</v>
      </c>
      <c r="INE3" t="s">
        <v>4515</v>
      </c>
      <c r="INF3">
        <v>0</v>
      </c>
      <c r="ING3">
        <v>0</v>
      </c>
      <c r="INH3">
        <v>0</v>
      </c>
      <c r="INI3" t="s">
        <v>4509</v>
      </c>
      <c r="INJ3" t="s">
        <v>4516</v>
      </c>
      <c r="INK3" t="s">
        <v>4517</v>
      </c>
      <c r="INL3" t="s">
        <v>4518</v>
      </c>
      <c r="INM3" t="s">
        <v>4519</v>
      </c>
      <c r="INN3" t="s">
        <v>4520</v>
      </c>
      <c r="INO3" t="s">
        <v>4521</v>
      </c>
      <c r="INP3" t="s">
        <v>4522</v>
      </c>
      <c r="INQ3" t="s">
        <v>4523</v>
      </c>
      <c r="INR3" t="s">
        <v>4524</v>
      </c>
      <c r="INS3" t="s">
        <v>4525</v>
      </c>
      <c r="INT3" t="s">
        <v>4526</v>
      </c>
      <c r="INU3" t="s">
        <v>4506</v>
      </c>
      <c r="INV3" t="s">
        <v>4507</v>
      </c>
      <c r="INW3" t="s">
        <v>4527</v>
      </c>
      <c r="INX3" t="s">
        <v>4528</v>
      </c>
      <c r="INY3" t="s">
        <v>4512</v>
      </c>
      <c r="INZ3" t="s">
        <v>4529</v>
      </c>
      <c r="IOA3" t="s">
        <v>4514</v>
      </c>
      <c r="IOB3" t="s">
        <v>125</v>
      </c>
      <c r="IOC3" t="s">
        <v>2615</v>
      </c>
      <c r="IOD3" t="s">
        <v>4530</v>
      </c>
      <c r="IOE3" t="s">
        <v>3259</v>
      </c>
      <c r="IOF3" t="s">
        <v>4531</v>
      </c>
      <c r="IOG3" t="s">
        <v>4502</v>
      </c>
      <c r="IOH3" t="s">
        <v>4532</v>
      </c>
      <c r="IOI3">
        <v>0</v>
      </c>
      <c r="IOJ3" t="s">
        <v>4533</v>
      </c>
      <c r="IOK3" t="s">
        <v>3259</v>
      </c>
      <c r="IOL3" t="s">
        <v>4531</v>
      </c>
      <c r="IOM3" t="s">
        <v>4534</v>
      </c>
      <c r="ION3" t="s">
        <v>4535</v>
      </c>
      <c r="IOO3" t="s">
        <v>4536</v>
      </c>
      <c r="IOP3" t="s">
        <v>4537</v>
      </c>
      <c r="IOQ3" t="s">
        <v>4538</v>
      </c>
      <c r="IOR3" t="s">
        <v>44</v>
      </c>
      <c r="IOS3" t="s">
        <v>4539</v>
      </c>
      <c r="IOT3">
        <v>0</v>
      </c>
      <c r="IOU3" t="s">
        <v>4540</v>
      </c>
      <c r="IOV3" t="s">
        <v>1822</v>
      </c>
      <c r="IOW3" t="s">
        <v>3269</v>
      </c>
      <c r="IOX3" t="s">
        <v>4530</v>
      </c>
      <c r="IOY3" t="s">
        <v>3259</v>
      </c>
      <c r="IOZ3" t="s">
        <v>4541</v>
      </c>
      <c r="IPA3" t="s">
        <v>4542</v>
      </c>
      <c r="IPB3" t="s">
        <v>4543</v>
      </c>
      <c r="IPC3" t="s">
        <v>4544</v>
      </c>
      <c r="IPD3" t="s">
        <v>4538</v>
      </c>
      <c r="IPE3" t="s">
        <v>44</v>
      </c>
      <c r="IPF3" t="s">
        <v>4545</v>
      </c>
      <c r="IPG3">
        <v>0</v>
      </c>
      <c r="IPH3" t="s">
        <v>4540</v>
      </c>
      <c r="IPI3" t="s">
        <v>1822</v>
      </c>
      <c r="IPJ3" t="s">
        <v>3269</v>
      </c>
      <c r="IPK3" t="s">
        <v>4530</v>
      </c>
      <c r="IPL3" t="s">
        <v>3259</v>
      </c>
      <c r="IPM3" t="s">
        <v>4546</v>
      </c>
      <c r="IPN3" t="s">
        <v>125</v>
      </c>
      <c r="IPO3" t="s">
        <v>4547</v>
      </c>
      <c r="IPP3" t="s">
        <v>4508</v>
      </c>
      <c r="IPQ3">
        <v>0</v>
      </c>
      <c r="IPR3" t="s">
        <v>4548</v>
      </c>
      <c r="IPS3" t="s">
        <v>4515</v>
      </c>
      <c r="IPT3" t="s">
        <v>4549</v>
      </c>
      <c r="IPU3" t="s">
        <v>4550</v>
      </c>
      <c r="IPV3" t="s">
        <v>4551</v>
      </c>
      <c r="IPW3" t="s">
        <v>1336</v>
      </c>
      <c r="IPX3" t="s">
        <v>4552</v>
      </c>
      <c r="IPY3" t="s">
        <v>4553</v>
      </c>
      <c r="IPZ3" t="s">
        <v>388</v>
      </c>
      <c r="IQA3" t="s">
        <v>4554</v>
      </c>
      <c r="IQB3" t="s">
        <v>4555</v>
      </c>
      <c r="IQC3" t="s">
        <v>4556</v>
      </c>
      <c r="IQD3" t="s">
        <v>4557</v>
      </c>
      <c r="IQE3" t="s">
        <v>4558</v>
      </c>
      <c r="IQF3" t="s">
        <v>4559</v>
      </c>
      <c r="IQG3" t="s">
        <v>4560</v>
      </c>
      <c r="IQH3" t="s">
        <v>126</v>
      </c>
      <c r="IQI3" t="s">
        <v>1475</v>
      </c>
      <c r="IQJ3" t="s">
        <v>4561</v>
      </c>
      <c r="IQK3" t="s">
        <v>4549</v>
      </c>
      <c r="IQL3" t="s">
        <v>4562</v>
      </c>
      <c r="IQM3" t="s">
        <v>4563</v>
      </c>
      <c r="IQN3" t="s">
        <v>4564</v>
      </c>
      <c r="IQO3" t="s">
        <v>4565</v>
      </c>
      <c r="IQP3" t="e">
        <f>-f._height</f>
        <v>#NAME?</v>
      </c>
      <c r="IQQ3" t="s">
        <v>4566</v>
      </c>
      <c r="IQR3" t="s">
        <v>4567</v>
      </c>
      <c r="IQS3" t="s">
        <v>4568</v>
      </c>
      <c r="IQT3" t="s">
        <v>4569</v>
      </c>
      <c r="IQU3" t="s">
        <v>4570</v>
      </c>
      <c r="IQV3" t="s">
        <v>4571</v>
      </c>
      <c r="IQW3" t="s">
        <v>255</v>
      </c>
      <c r="IQX3" t="s">
        <v>1990</v>
      </c>
      <c r="IQY3" t="s">
        <v>4572</v>
      </c>
      <c r="IQZ3" t="s">
        <v>4573</v>
      </c>
      <c r="IRA3" t="s">
        <v>4419</v>
      </c>
      <c r="IRB3" t="s">
        <v>126</v>
      </c>
      <c r="IRC3" t="s">
        <v>44</v>
      </c>
      <c r="IRD3" t="s">
        <v>4574</v>
      </c>
      <c r="IRE3" t="s">
        <v>4575</v>
      </c>
      <c r="IRF3" t="s">
        <v>44</v>
      </c>
      <c r="IRG3" t="s">
        <v>4576</v>
      </c>
      <c r="IRH3" t="s">
        <v>4577</v>
      </c>
      <c r="IRI3" t="s">
        <v>4578</v>
      </c>
      <c r="IRJ3" t="s">
        <v>4579</v>
      </c>
      <c r="IRK3" t="s">
        <v>44</v>
      </c>
      <c r="IRL3" t="s">
        <v>125</v>
      </c>
      <c r="IRM3" t="s">
        <v>126</v>
      </c>
      <c r="IRN3" t="s">
        <v>4580</v>
      </c>
      <c r="IRO3" t="s">
        <v>4581</v>
      </c>
      <c r="IRP3" t="s">
        <v>4582</v>
      </c>
      <c r="IRQ3" t="s">
        <v>4583</v>
      </c>
      <c r="IRR3" t="s">
        <v>4584</v>
      </c>
      <c r="IRS3" t="s">
        <v>4585</v>
      </c>
      <c r="IRT3" t="s">
        <v>4586</v>
      </c>
      <c r="IRU3" t="s">
        <v>4587</v>
      </c>
      <c r="IRV3" t="s">
        <v>4588</v>
      </c>
      <c r="IRW3" t="s">
        <v>4589</v>
      </c>
      <c r="IRX3" t="s">
        <v>4590</v>
      </c>
      <c r="IRY3" t="s">
        <v>4591</v>
      </c>
      <c r="IRZ3" t="s">
        <v>4592</v>
      </c>
      <c r="ISA3" t="s">
        <v>4593</v>
      </c>
      <c r="ISB3" t="s">
        <v>4594</v>
      </c>
      <c r="ISC3" t="s">
        <v>255</v>
      </c>
      <c r="ISD3" t="s">
        <v>4595</v>
      </c>
      <c r="ISE3" t="s">
        <v>4596</v>
      </c>
      <c r="ISF3" t="s">
        <v>4597</v>
      </c>
      <c r="ISG3" t="s">
        <v>4598</v>
      </c>
      <c r="ISH3" t="s">
        <v>4599</v>
      </c>
      <c r="ISI3" t="s">
        <v>4600</v>
      </c>
      <c r="ISJ3" t="s">
        <v>255</v>
      </c>
      <c r="ISK3" t="s">
        <v>4601</v>
      </c>
      <c r="ISL3" t="s">
        <v>44</v>
      </c>
      <c r="ISM3" t="s">
        <v>429</v>
      </c>
      <c r="ISN3" t="s">
        <v>47</v>
      </c>
      <c r="ISO3" t="s">
        <v>4602</v>
      </c>
      <c r="ISP3" t="s">
        <v>4603</v>
      </c>
      <c r="ISQ3" t="s">
        <v>4604</v>
      </c>
      <c r="ISR3" t="s">
        <v>4605</v>
      </c>
      <c r="ISS3" t="s">
        <v>4606</v>
      </c>
      <c r="IST3" t="s">
        <v>4607</v>
      </c>
      <c r="ISU3" t="s">
        <v>4608</v>
      </c>
      <c r="ISV3" t="s">
        <v>4609</v>
      </c>
      <c r="ISW3" t="s">
        <v>4610</v>
      </c>
      <c r="ISX3" t="s">
        <v>4611</v>
      </c>
      <c r="ISY3" t="s">
        <v>4612</v>
      </c>
      <c r="ISZ3" t="s">
        <v>3221</v>
      </c>
      <c r="ITA3" t="s">
        <v>4613</v>
      </c>
      <c r="ITB3" t="s">
        <v>4341</v>
      </c>
      <c r="ITC3" t="s">
        <v>4614</v>
      </c>
      <c r="ITD3" t="s">
        <v>4615</v>
      </c>
      <c r="ITE3" t="s">
        <v>932</v>
      </c>
      <c r="ITF3" t="s">
        <v>4509</v>
      </c>
      <c r="ITG3" t="s">
        <v>4616</v>
      </c>
      <c r="ITH3" t="s">
        <v>4617</v>
      </c>
      <c r="ITI3" t="s">
        <v>4618</v>
      </c>
      <c r="ITJ3" t="s">
        <v>255</v>
      </c>
      <c r="ITK3" t="s">
        <v>44</v>
      </c>
      <c r="ITL3" t="s">
        <v>4619</v>
      </c>
      <c r="ITM3" t="s">
        <v>4620</v>
      </c>
      <c r="ITN3" t="s">
        <v>4621</v>
      </c>
      <c r="ITO3" t="s">
        <v>255</v>
      </c>
      <c r="ITP3" t="s">
        <v>44</v>
      </c>
      <c r="ITQ3" t="s">
        <v>4622</v>
      </c>
      <c r="ITR3" t="s">
        <v>4623</v>
      </c>
      <c r="ITS3" t="s">
        <v>4624</v>
      </c>
      <c r="ITT3" t="s">
        <v>4625</v>
      </c>
      <c r="ITU3" t="s">
        <v>4626</v>
      </c>
      <c r="ITV3" t="s">
        <v>4627</v>
      </c>
      <c r="ITW3" t="s">
        <v>4628</v>
      </c>
      <c r="ITX3" t="s">
        <v>4629</v>
      </c>
      <c r="ITY3" t="s">
        <v>4630</v>
      </c>
      <c r="ITZ3" t="s">
        <v>513</v>
      </c>
      <c r="IUA3" t="s">
        <v>4631</v>
      </c>
      <c r="IUB3" t="s">
        <v>44</v>
      </c>
      <c r="IUC3" t="s">
        <v>4632</v>
      </c>
      <c r="IUD3" t="s">
        <v>4633</v>
      </c>
      <c r="IUE3" t="s">
        <v>44</v>
      </c>
      <c r="IUF3" t="s">
        <v>511</v>
      </c>
      <c r="IUG3" t="s">
        <v>4634</v>
      </c>
      <c r="IUH3" t="s">
        <v>255</v>
      </c>
      <c r="IUI3" t="s">
        <v>44</v>
      </c>
      <c r="IUJ3" t="s">
        <v>4635</v>
      </c>
      <c r="IUK3" t="s">
        <v>4636</v>
      </c>
      <c r="IUL3" t="s">
        <v>4637</v>
      </c>
      <c r="IUM3" t="s">
        <v>44</v>
      </c>
      <c r="IUN3" t="s">
        <v>2040</v>
      </c>
      <c r="IUO3" t="s">
        <v>4638</v>
      </c>
      <c r="IUP3" t="s">
        <v>4639</v>
      </c>
      <c r="IUQ3" t="s">
        <v>4640</v>
      </c>
      <c r="IUR3" t="s">
        <v>390</v>
      </c>
      <c r="IUS3" t="s">
        <v>4641</v>
      </c>
      <c r="IUT3" t="s">
        <v>4642</v>
      </c>
      <c r="IUU3" t="s">
        <v>4643</v>
      </c>
      <c r="IUV3" t="s">
        <v>4644</v>
      </c>
      <c r="IUW3" t="s">
        <v>4645</v>
      </c>
      <c r="IUX3" t="s">
        <v>4646</v>
      </c>
      <c r="IUY3">
        <v>0</v>
      </c>
      <c r="IUZ3">
        <v>0</v>
      </c>
      <c r="IVA3" t="s">
        <v>4647</v>
      </c>
      <c r="IVB3" t="s">
        <v>4648</v>
      </c>
      <c r="IVC3" t="s">
        <v>4649</v>
      </c>
      <c r="IVD3" t="s">
        <v>4650</v>
      </c>
      <c r="IVE3" t="s">
        <v>4651</v>
      </c>
      <c r="IVF3" t="s">
        <v>1372</v>
      </c>
      <c r="IVG3" t="s">
        <v>4652</v>
      </c>
      <c r="IVH3" t="s">
        <v>46</v>
      </c>
      <c r="IVI3" t="s">
        <v>255</v>
      </c>
      <c r="IVJ3" t="s">
        <v>511</v>
      </c>
      <c r="IVK3" t="s">
        <v>4653</v>
      </c>
      <c r="IVL3" t="s">
        <v>44</v>
      </c>
      <c r="IVM3" t="s">
        <v>125</v>
      </c>
      <c r="IVN3" t="s">
        <v>126</v>
      </c>
      <c r="IVO3" t="s">
        <v>4654</v>
      </c>
      <c r="IVP3" t="s">
        <v>388</v>
      </c>
      <c r="IVQ3" t="s">
        <v>4655</v>
      </c>
      <c r="IVR3" t="s">
        <v>125</v>
      </c>
      <c r="IVS3" t="s">
        <v>2830</v>
      </c>
      <c r="IVT3" t="s">
        <v>44</v>
      </c>
      <c r="IVU3" t="s">
        <v>125</v>
      </c>
      <c r="IVV3" t="s">
        <v>4656</v>
      </c>
      <c r="IVW3" t="s">
        <v>4657</v>
      </c>
      <c r="IVX3" t="s">
        <v>4658</v>
      </c>
      <c r="IVY3" t="s">
        <v>254</v>
      </c>
      <c r="IVZ3" t="s">
        <v>4659</v>
      </c>
      <c r="IWA3" t="s">
        <v>4660</v>
      </c>
      <c r="IWB3" t="s">
        <v>4661</v>
      </c>
      <c r="IWC3" t="s">
        <v>4662</v>
      </c>
      <c r="IWD3" t="s">
        <v>310</v>
      </c>
      <c r="IWE3" t="s">
        <v>4663</v>
      </c>
      <c r="IWF3">
        <v>0</v>
      </c>
      <c r="IWG3" t="s">
        <v>4664</v>
      </c>
      <c r="IWH3" t="s">
        <v>4665</v>
      </c>
      <c r="IWI3" t="s">
        <v>4666</v>
      </c>
      <c r="IWJ3" t="s">
        <v>4667</v>
      </c>
      <c r="IWK3" t="s">
        <v>4668</v>
      </c>
      <c r="IWL3" t="s">
        <v>4669</v>
      </c>
      <c r="IWM3" t="s">
        <v>4670</v>
      </c>
      <c r="IWN3" t="s">
        <v>4671</v>
      </c>
      <c r="IWO3" t="s">
        <v>4672</v>
      </c>
      <c r="IWP3" t="s">
        <v>4673</v>
      </c>
      <c r="IWQ3" t="s">
        <v>4670</v>
      </c>
      <c r="IWR3" t="s">
        <v>1347</v>
      </c>
      <c r="IWS3" t="s">
        <v>4674</v>
      </c>
      <c r="IWT3" t="s">
        <v>4675</v>
      </c>
      <c r="IWU3" t="s">
        <v>4676</v>
      </c>
      <c r="IWV3" t="s">
        <v>4677</v>
      </c>
      <c r="IWW3" t="s">
        <v>4678</v>
      </c>
      <c r="IWX3" t="s">
        <v>125</v>
      </c>
      <c r="IWY3" t="s">
        <v>126</v>
      </c>
      <c r="IWZ3" t="s">
        <v>4679</v>
      </c>
      <c r="IXA3" t="s">
        <v>4680</v>
      </c>
      <c r="IXB3" t="s">
        <v>4681</v>
      </c>
      <c r="IXC3" t="s">
        <v>4682</v>
      </c>
      <c r="IXD3" t="s">
        <v>4683</v>
      </c>
      <c r="IXE3" t="s">
        <v>4684</v>
      </c>
      <c r="IXF3" t="s">
        <v>4685</v>
      </c>
      <c r="IXG3" t="s">
        <v>44</v>
      </c>
      <c r="IXH3" t="s">
        <v>2708</v>
      </c>
      <c r="IXI3" t="s">
        <v>4686</v>
      </c>
      <c r="IXJ3" t="s">
        <v>44</v>
      </c>
      <c r="IXK3" t="s">
        <v>2040</v>
      </c>
      <c r="IXL3" t="s">
        <v>1503</v>
      </c>
      <c r="IXM3" t="s">
        <v>4687</v>
      </c>
      <c r="IXN3" t="s">
        <v>4688</v>
      </c>
      <c r="IXO3" t="s">
        <v>4689</v>
      </c>
      <c r="IXP3" t="s">
        <v>4051</v>
      </c>
      <c r="IXQ3" t="s">
        <v>4690</v>
      </c>
      <c r="IXR3" t="s">
        <v>4691</v>
      </c>
      <c r="IXS3" t="s">
        <v>4692</v>
      </c>
      <c r="IXT3" t="s">
        <v>4693</v>
      </c>
      <c r="IXU3" t="s">
        <v>4694</v>
      </c>
      <c r="IXV3" t="s">
        <v>126</v>
      </c>
      <c r="IXW3" t="s">
        <v>4695</v>
      </c>
      <c r="IXX3" t="s">
        <v>4696</v>
      </c>
      <c r="IXY3" t="s">
        <v>4697</v>
      </c>
      <c r="IXZ3" t="s">
        <v>4698</v>
      </c>
      <c r="IYA3" t="s">
        <v>4699</v>
      </c>
      <c r="IYB3" t="s">
        <v>4700</v>
      </c>
      <c r="IYC3" t="s">
        <v>4701</v>
      </c>
      <c r="IYD3" t="s">
        <v>4702</v>
      </c>
      <c r="IYE3" t="s">
        <v>4703</v>
      </c>
      <c r="IYF3" t="s">
        <v>4704</v>
      </c>
      <c r="IYG3" t="s">
        <v>4705</v>
      </c>
      <c r="IYH3" t="s">
        <v>267</v>
      </c>
      <c r="IYI3" t="s">
        <v>4706</v>
      </c>
      <c r="IYJ3" t="s">
        <v>4707</v>
      </c>
      <c r="IYK3" t="s">
        <v>4708</v>
      </c>
      <c r="IYL3" t="s">
        <v>4709</v>
      </c>
      <c r="IYM3" t="s">
        <v>4710</v>
      </c>
      <c r="IYN3" t="s">
        <v>4711</v>
      </c>
      <c r="IYO3" t="s">
        <v>4712</v>
      </c>
      <c r="IYP3" t="s">
        <v>4713</v>
      </c>
      <c r="IYQ3" t="s">
        <v>267</v>
      </c>
      <c r="IYR3" t="s">
        <v>3284</v>
      </c>
      <c r="IYS3" t="s">
        <v>4712</v>
      </c>
      <c r="IYT3" t="s">
        <v>4714</v>
      </c>
      <c r="IYU3" t="s">
        <v>4715</v>
      </c>
      <c r="IYV3" t="s">
        <v>4716</v>
      </c>
      <c r="IYW3" t="s">
        <v>4717</v>
      </c>
      <c r="IYX3" t="s">
        <v>4718</v>
      </c>
      <c r="IYY3" t="s">
        <v>4719</v>
      </c>
      <c r="IYZ3" t="s">
        <v>4720</v>
      </c>
      <c r="IZA3" t="s">
        <v>4721</v>
      </c>
      <c r="IZB3" t="s">
        <v>4722</v>
      </c>
      <c r="IZC3" t="s">
        <v>4723</v>
      </c>
      <c r="IZD3" t="s">
        <v>4724</v>
      </c>
      <c r="IZE3" t="s">
        <v>4725</v>
      </c>
      <c r="IZF3" t="s">
        <v>4726</v>
      </c>
      <c r="IZG3" t="s">
        <v>4727</v>
      </c>
      <c r="IZH3" t="s">
        <v>4728</v>
      </c>
      <c r="IZI3" t="s">
        <v>4729</v>
      </c>
      <c r="IZJ3" t="s">
        <v>4730</v>
      </c>
      <c r="IZK3" t="s">
        <v>4731</v>
      </c>
      <c r="IZL3" t="s">
        <v>4732</v>
      </c>
      <c r="IZM3" t="s">
        <v>4733</v>
      </c>
      <c r="IZN3" t="s">
        <v>4734</v>
      </c>
      <c r="IZO3" t="s">
        <v>4735</v>
      </c>
      <c r="IZP3" t="s">
        <v>4736</v>
      </c>
      <c r="IZQ3" t="s">
        <v>44</v>
      </c>
      <c r="IZR3" t="s">
        <v>2708</v>
      </c>
      <c r="IZS3" t="s">
        <v>836</v>
      </c>
      <c r="IZT3" t="s">
        <v>4737</v>
      </c>
      <c r="IZU3" t="s">
        <v>4738</v>
      </c>
      <c r="IZV3" t="s">
        <v>44</v>
      </c>
      <c r="IZW3" t="s">
        <v>4739</v>
      </c>
      <c r="IZX3" t="s">
        <v>4740</v>
      </c>
      <c r="IZY3" t="s">
        <v>4741</v>
      </c>
      <c r="IZZ3" t="s">
        <v>4742</v>
      </c>
      <c r="JAA3" t="s">
        <v>4743</v>
      </c>
      <c r="JAB3" t="s">
        <v>4744</v>
      </c>
      <c r="JAC3" t="s">
        <v>4745</v>
      </c>
      <c r="JAD3" t="s">
        <v>4746</v>
      </c>
      <c r="JAE3" t="s">
        <v>4747</v>
      </c>
      <c r="JAF3" t="s">
        <v>4748</v>
      </c>
      <c r="JAG3" t="s">
        <v>4749</v>
      </c>
      <c r="JAH3" t="s">
        <v>4750</v>
      </c>
      <c r="JAI3" t="s">
        <v>4751</v>
      </c>
      <c r="JAJ3" t="s">
        <v>4752</v>
      </c>
      <c r="JAK3" t="s">
        <v>266</v>
      </c>
      <c r="JAL3" t="s">
        <v>267</v>
      </c>
      <c r="JAM3" t="s">
        <v>1347</v>
      </c>
      <c r="JAN3" t="s">
        <v>1693</v>
      </c>
      <c r="JAO3" t="s">
        <v>4753</v>
      </c>
      <c r="JAP3" t="s">
        <v>4754</v>
      </c>
      <c r="JAQ3" t="s">
        <v>4755</v>
      </c>
      <c r="JAR3" t="s">
        <v>4756</v>
      </c>
      <c r="JAS3" t="s">
        <v>4757</v>
      </c>
      <c r="JAT3" t="s">
        <v>4758</v>
      </c>
      <c r="JAU3" t="s">
        <v>4759</v>
      </c>
      <c r="JAV3" t="s">
        <v>4760</v>
      </c>
      <c r="JAW3" t="s">
        <v>4761</v>
      </c>
      <c r="JAX3" t="s">
        <v>4762</v>
      </c>
      <c r="JAY3" t="s">
        <v>4763</v>
      </c>
      <c r="JAZ3" t="s">
        <v>4764</v>
      </c>
      <c r="JBA3" t="s">
        <v>4765</v>
      </c>
      <c r="JBB3" t="s">
        <v>4766</v>
      </c>
      <c r="JBC3" t="s">
        <v>4767</v>
      </c>
      <c r="JBD3" t="s">
        <v>4419</v>
      </c>
      <c r="JBE3" t="s">
        <v>3393</v>
      </c>
      <c r="JBF3" t="s">
        <v>4768</v>
      </c>
      <c r="JBG3" t="s">
        <v>4769</v>
      </c>
      <c r="JBH3" t="s">
        <v>4770</v>
      </c>
      <c r="JBI3" t="s">
        <v>4771</v>
      </c>
      <c r="JBJ3" t="s">
        <v>4772</v>
      </c>
      <c r="JBK3" t="s">
        <v>4773</v>
      </c>
      <c r="JBL3" t="s">
        <v>4774</v>
      </c>
      <c r="JBM3" t="s">
        <v>4775</v>
      </c>
      <c r="JBN3" t="s">
        <v>4776</v>
      </c>
      <c r="JBO3" t="s">
        <v>4777</v>
      </c>
      <c r="JBP3" t="s">
        <v>4778</v>
      </c>
      <c r="JBQ3" t="s">
        <v>4779</v>
      </c>
      <c r="JBR3" t="s">
        <v>4780</v>
      </c>
      <c r="JBS3" t="s">
        <v>4781</v>
      </c>
      <c r="JBT3" t="s">
        <v>4782</v>
      </c>
      <c r="JBU3" t="s">
        <v>44</v>
      </c>
      <c r="JBV3" t="s">
        <v>1695</v>
      </c>
      <c r="JBW3" t="s">
        <v>4783</v>
      </c>
      <c r="JBX3" t="s">
        <v>4784</v>
      </c>
      <c r="JBY3" t="s">
        <v>44</v>
      </c>
      <c r="JBZ3" t="s">
        <v>1695</v>
      </c>
      <c r="JCA3" t="s">
        <v>4785</v>
      </c>
      <c r="JCB3" t="s">
        <v>4786</v>
      </c>
      <c r="JCC3" t="s">
        <v>4787</v>
      </c>
      <c r="JCD3" t="s">
        <v>4788</v>
      </c>
      <c r="JCE3" t="s">
        <v>4789</v>
      </c>
      <c r="JCF3" t="s">
        <v>4790</v>
      </c>
      <c r="JCG3" t="s">
        <v>4791</v>
      </c>
      <c r="JCH3" t="s">
        <v>4792</v>
      </c>
      <c r="JCI3" t="s">
        <v>44</v>
      </c>
      <c r="JCJ3" t="s">
        <v>4793</v>
      </c>
      <c r="JCK3" t="s">
        <v>4794</v>
      </c>
      <c r="JCL3" t="s">
        <v>4795</v>
      </c>
      <c r="JCM3" t="s">
        <v>4796</v>
      </c>
      <c r="JCN3" t="s">
        <v>4797</v>
      </c>
      <c r="JCO3" t="s">
        <v>4798</v>
      </c>
      <c r="JCP3" t="s">
        <v>4799</v>
      </c>
      <c r="JCQ3" t="s">
        <v>4800</v>
      </c>
      <c r="JCR3" t="s">
        <v>4801</v>
      </c>
      <c r="JCS3" t="s">
        <v>4802</v>
      </c>
      <c r="JCT3" t="s">
        <v>4803</v>
      </c>
      <c r="JCU3" t="s">
        <v>4804</v>
      </c>
      <c r="JCV3" t="s">
        <v>4805</v>
      </c>
      <c r="JCW3" t="s">
        <v>4806</v>
      </c>
      <c r="JCX3" t="s">
        <v>4625</v>
      </c>
      <c r="JCY3" t="s">
        <v>4807</v>
      </c>
      <c r="JCZ3" t="s">
        <v>4808</v>
      </c>
      <c r="JDA3" t="s">
        <v>4629</v>
      </c>
      <c r="JDB3" t="s">
        <v>4809</v>
      </c>
      <c r="JDC3" t="s">
        <v>4810</v>
      </c>
      <c r="JDD3" t="s">
        <v>4811</v>
      </c>
      <c r="JDE3" t="s">
        <v>1882</v>
      </c>
      <c r="JDF3" t="s">
        <v>4812</v>
      </c>
      <c r="JDG3" t="s">
        <v>4813</v>
      </c>
      <c r="JDH3" t="s">
        <v>4814</v>
      </c>
      <c r="JDI3" t="s">
        <v>4815</v>
      </c>
      <c r="JDJ3" t="s">
        <v>4816</v>
      </c>
      <c r="JDK3" t="s">
        <v>4817</v>
      </c>
      <c r="JDL3" t="s">
        <v>4818</v>
      </c>
      <c r="JDM3" t="s">
        <v>4819</v>
      </c>
      <c r="JDN3" t="s">
        <v>4820</v>
      </c>
      <c r="JDO3" t="s">
        <v>4821</v>
      </c>
      <c r="JDP3" t="s">
        <v>44</v>
      </c>
      <c r="JDQ3" t="s">
        <v>775</v>
      </c>
      <c r="JDR3" t="s">
        <v>4822</v>
      </c>
      <c r="JDS3" t="s">
        <v>4823</v>
      </c>
      <c r="JDT3" t="s">
        <v>4824</v>
      </c>
      <c r="JDU3" t="s">
        <v>4825</v>
      </c>
      <c r="JDV3" t="s">
        <v>4826</v>
      </c>
      <c r="JDW3" t="s">
        <v>4827</v>
      </c>
      <c r="JDX3" t="s">
        <v>44</v>
      </c>
      <c r="JDY3" t="s">
        <v>333</v>
      </c>
      <c r="JDZ3" t="s">
        <v>2499</v>
      </c>
      <c r="JEA3" t="s">
        <v>2538</v>
      </c>
      <c r="JEB3" t="s">
        <v>4828</v>
      </c>
      <c r="JEC3" t="s">
        <v>4829</v>
      </c>
      <c r="JED3" t="s">
        <v>4830</v>
      </c>
      <c r="JEE3" t="s">
        <v>4831</v>
      </c>
      <c r="JEF3" t="s">
        <v>4832</v>
      </c>
      <c r="JEG3" t="s">
        <v>4833</v>
      </c>
      <c r="JEH3" t="s">
        <v>4834</v>
      </c>
      <c r="JEI3" t="s">
        <v>4835</v>
      </c>
      <c r="JEJ3" t="s">
        <v>4836</v>
      </c>
      <c r="JEK3" t="s">
        <v>4837</v>
      </c>
      <c r="JEL3" t="s">
        <v>4838</v>
      </c>
      <c r="JEM3" t="s">
        <v>4839</v>
      </c>
      <c r="JEN3" t="s">
        <v>4840</v>
      </c>
      <c r="JEO3" t="s">
        <v>4841</v>
      </c>
      <c r="JEP3" t="s">
        <v>4842</v>
      </c>
      <c r="JEQ3" t="s">
        <v>4843</v>
      </c>
      <c r="JER3" t="s">
        <v>4844</v>
      </c>
      <c r="JES3" t="s">
        <v>4845</v>
      </c>
      <c r="JET3" t="s">
        <v>4846</v>
      </c>
      <c r="JEU3" t="s">
        <v>4847</v>
      </c>
      <c r="JEV3" t="s">
        <v>4848</v>
      </c>
      <c r="JEW3" t="s">
        <v>4849</v>
      </c>
      <c r="JEX3" t="s">
        <v>44</v>
      </c>
      <c r="JEY3" t="s">
        <v>4850</v>
      </c>
      <c r="JEZ3" t="s">
        <v>44</v>
      </c>
      <c r="JFA3" t="s">
        <v>4851</v>
      </c>
      <c r="JFB3" t="s">
        <v>4852</v>
      </c>
      <c r="JFC3" t="s">
        <v>4853</v>
      </c>
      <c r="JFD3" t="s">
        <v>4854</v>
      </c>
      <c r="JFE3" t="s">
        <v>4509</v>
      </c>
      <c r="JFF3" t="s">
        <v>4855</v>
      </c>
      <c r="JFG3" t="s">
        <v>44</v>
      </c>
      <c r="JFH3" t="s">
        <v>125</v>
      </c>
      <c r="JFI3" t="s">
        <v>4856</v>
      </c>
      <c r="JFJ3" t="s">
        <v>4857</v>
      </c>
      <c r="JFK3" t="s">
        <v>47</v>
      </c>
      <c r="JFL3" t="s">
        <v>4858</v>
      </c>
      <c r="JFM3" t="s">
        <v>4859</v>
      </c>
      <c r="JFN3" t="s">
        <v>4860</v>
      </c>
      <c r="JFO3" t="s">
        <v>4861</v>
      </c>
      <c r="JFP3" t="s">
        <v>4862</v>
      </c>
      <c r="JFQ3">
        <v>3</v>
      </c>
      <c r="JFR3">
        <v>0</v>
      </c>
      <c r="JFS3">
        <v>0</v>
      </c>
      <c r="JFT3" s="2">
        <v>45660</v>
      </c>
      <c r="JFU3" t="s">
        <v>4863</v>
      </c>
      <c r="JFV3">
        <v>3</v>
      </c>
      <c r="JFW3">
        <v>0</v>
      </c>
      <c r="JFX3">
        <v>0</v>
      </c>
      <c r="JFY3" t="s">
        <v>4864</v>
      </c>
      <c r="JFZ3">
        <v>3</v>
      </c>
      <c r="JGA3">
        <v>0</v>
      </c>
      <c r="JGB3">
        <v>0</v>
      </c>
      <c r="JGC3">
        <v>1</v>
      </c>
      <c r="JGD3" t="s">
        <v>4865</v>
      </c>
      <c r="JGE3">
        <v>3</v>
      </c>
      <c r="JGF3">
        <v>0</v>
      </c>
      <c r="JGG3">
        <v>0</v>
      </c>
      <c r="JGH3">
        <v>1</v>
      </c>
      <c r="JGI3">
        <v>3</v>
      </c>
      <c r="JGJ3" t="s">
        <v>4866</v>
      </c>
      <c r="JGK3" t="s">
        <v>4867</v>
      </c>
      <c r="JGL3" t="s">
        <v>4868</v>
      </c>
      <c r="JGM3" t="s">
        <v>4869</v>
      </c>
      <c r="JGN3" t="s">
        <v>4870</v>
      </c>
      <c r="JGO3" t="s">
        <v>4871</v>
      </c>
      <c r="JGP3" t="s">
        <v>4872</v>
      </c>
      <c r="JGQ3" t="s">
        <v>292</v>
      </c>
      <c r="JGR3" t="s">
        <v>4873</v>
      </c>
      <c r="JGS3" t="s">
        <v>4874</v>
      </c>
      <c r="JGT3" t="s">
        <v>4875</v>
      </c>
      <c r="JGU3" t="s">
        <v>4876</v>
      </c>
      <c r="JGV3" t="s">
        <v>4877</v>
      </c>
      <c r="JGW3">
        <v>5</v>
      </c>
      <c r="JGX3" t="s">
        <v>4878</v>
      </c>
      <c r="JGY3" t="s">
        <v>4879</v>
      </c>
      <c r="JGZ3" t="s">
        <v>4880</v>
      </c>
      <c r="JHA3" t="s">
        <v>4881</v>
      </c>
      <c r="JHB3" t="s">
        <v>4882</v>
      </c>
      <c r="JHC3" t="s">
        <v>4883</v>
      </c>
      <c r="JHD3" t="s">
        <v>4884</v>
      </c>
      <c r="JHE3">
        <v>0</v>
      </c>
      <c r="JHF3" t="s">
        <v>4885</v>
      </c>
      <c r="JHG3">
        <v>0</v>
      </c>
      <c r="JHH3" t="s">
        <v>1494</v>
      </c>
      <c r="JHI3" t="s">
        <v>4886</v>
      </c>
      <c r="JHJ3">
        <v>0</v>
      </c>
      <c r="JHK3" t="s">
        <v>1494</v>
      </c>
      <c r="JHL3" t="s">
        <v>4887</v>
      </c>
      <c r="JHM3" t="s">
        <v>4888</v>
      </c>
      <c r="JHN3">
        <v>8</v>
      </c>
      <c r="JHO3" t="s">
        <v>4889</v>
      </c>
      <c r="JHP3" t="s">
        <v>4890</v>
      </c>
      <c r="JHQ3">
        <v>0.5</v>
      </c>
      <c r="JHR3" t="s">
        <v>2612</v>
      </c>
      <c r="JHS3" t="s">
        <v>4891</v>
      </c>
      <c r="JHT3" t="s">
        <v>4892</v>
      </c>
      <c r="JHU3" t="s">
        <v>44</v>
      </c>
      <c r="JHV3" t="s">
        <v>325</v>
      </c>
      <c r="JHW3" t="s">
        <v>1692</v>
      </c>
      <c r="JHX3" t="s">
        <v>1694</v>
      </c>
      <c r="JHY3" t="s">
        <v>1695</v>
      </c>
      <c r="JHZ3" t="s">
        <v>1308</v>
      </c>
      <c r="JIA3" t="s">
        <v>4893</v>
      </c>
      <c r="JIB3" t="s">
        <v>266</v>
      </c>
      <c r="JIC3" t="s">
        <v>267</v>
      </c>
      <c r="JID3" t="s">
        <v>4894</v>
      </c>
      <c r="JIE3" t="s">
        <v>4895</v>
      </c>
      <c r="JIF3" t="s">
        <v>4896</v>
      </c>
      <c r="JIG3" t="s">
        <v>125</v>
      </c>
      <c r="JIH3" t="s">
        <v>4897</v>
      </c>
      <c r="JII3" t="s">
        <v>4898</v>
      </c>
      <c r="JIJ3" t="s">
        <v>4899</v>
      </c>
      <c r="JIK3" t="s">
        <v>3919</v>
      </c>
      <c r="JIL3" t="s">
        <v>4900</v>
      </c>
      <c r="JIM3" t="s">
        <v>4871</v>
      </c>
      <c r="JIN3" t="s">
        <v>4901</v>
      </c>
      <c r="JIO3" t="s">
        <v>4902</v>
      </c>
      <c r="JIP3" t="s">
        <v>292</v>
      </c>
      <c r="JIQ3" t="s">
        <v>4903</v>
      </c>
      <c r="JIR3" t="s">
        <v>4904</v>
      </c>
      <c r="JIS3" t="s">
        <v>4905</v>
      </c>
      <c r="JIT3" t="s">
        <v>4906</v>
      </c>
      <c r="JIU3" t="s">
        <v>4907</v>
      </c>
      <c r="JIV3">
        <v>5</v>
      </c>
      <c r="JIW3" t="s">
        <v>1279</v>
      </c>
      <c r="JIX3" t="s">
        <v>4908</v>
      </c>
      <c r="JIY3" t="s">
        <v>4909</v>
      </c>
      <c r="JIZ3" t="s">
        <v>4910</v>
      </c>
      <c r="JJA3" t="s">
        <v>3206</v>
      </c>
      <c r="JJB3" t="s">
        <v>4911</v>
      </c>
      <c r="JJC3" t="s">
        <v>4912</v>
      </c>
      <c r="JJD3" t="s">
        <v>4913</v>
      </c>
      <c r="JJE3" t="s">
        <v>932</v>
      </c>
      <c r="JJF3" t="s">
        <v>1511</v>
      </c>
      <c r="JJG3" t="s">
        <v>4914</v>
      </c>
      <c r="JJH3" t="s">
        <v>4915</v>
      </c>
      <c r="JJI3" t="s">
        <v>393</v>
      </c>
      <c r="JJJ3" t="s">
        <v>4916</v>
      </c>
      <c r="JJK3" t="s">
        <v>4917</v>
      </c>
      <c r="JJL3" t="s">
        <v>4918</v>
      </c>
      <c r="JJM3" t="s">
        <v>4919</v>
      </c>
      <c r="JJN3" t="s">
        <v>4920</v>
      </c>
      <c r="JJO3" t="s">
        <v>4921</v>
      </c>
      <c r="JJP3" t="s">
        <v>4922</v>
      </c>
      <c r="JJQ3" t="s">
        <v>4923</v>
      </c>
      <c r="JJR3" t="s">
        <v>4924</v>
      </c>
      <c r="JJS3" t="s">
        <v>4925</v>
      </c>
      <c r="JJT3" t="s">
        <v>388</v>
      </c>
      <c r="JJU3" t="s">
        <v>4926</v>
      </c>
      <c r="JJV3" t="s">
        <v>4927</v>
      </c>
      <c r="JJW3" t="s">
        <v>388</v>
      </c>
      <c r="JJX3" t="s">
        <v>4928</v>
      </c>
      <c r="JJY3" t="s">
        <v>4929</v>
      </c>
      <c r="JJZ3" t="s">
        <v>4930</v>
      </c>
      <c r="JKA3" t="s">
        <v>4931</v>
      </c>
      <c r="JKB3" t="s">
        <v>4932</v>
      </c>
      <c r="JKC3" t="s">
        <v>4933</v>
      </c>
      <c r="JKD3" t="s">
        <v>4934</v>
      </c>
      <c r="JKE3" t="s">
        <v>4935</v>
      </c>
      <c r="JKF3" t="s">
        <v>4936</v>
      </c>
      <c r="JKG3" t="s">
        <v>4937</v>
      </c>
      <c r="JKH3" t="s">
        <v>4938</v>
      </c>
      <c r="JKI3" t="s">
        <v>4939</v>
      </c>
      <c r="JKJ3" t="s">
        <v>4937</v>
      </c>
      <c r="JKK3" t="s">
        <v>4940</v>
      </c>
      <c r="JKL3" t="s">
        <v>4941</v>
      </c>
      <c r="JKM3" t="s">
        <v>4942</v>
      </c>
      <c r="JKN3" t="s">
        <v>4943</v>
      </c>
      <c r="JKO3" t="s">
        <v>4944</v>
      </c>
      <c r="JKP3" t="s">
        <v>4945</v>
      </c>
      <c r="JKQ3" t="s">
        <v>4946</v>
      </c>
      <c r="JKR3" t="s">
        <v>4947</v>
      </c>
      <c r="JKS3" t="s">
        <v>4948</v>
      </c>
      <c r="JKT3" t="s">
        <v>4949</v>
      </c>
      <c r="JKU3" t="s">
        <v>4944</v>
      </c>
      <c r="JKV3" t="s">
        <v>4945</v>
      </c>
      <c r="JKW3" t="s">
        <v>4950</v>
      </c>
      <c r="JKX3" t="s">
        <v>4951</v>
      </c>
      <c r="JKY3" t="s">
        <v>4948</v>
      </c>
      <c r="JKZ3" t="s">
        <v>4952</v>
      </c>
      <c r="JLA3" t="s">
        <v>4944</v>
      </c>
      <c r="JLB3" t="s">
        <v>4945</v>
      </c>
      <c r="JLC3" t="s">
        <v>4953</v>
      </c>
      <c r="JLD3" t="s">
        <v>4954</v>
      </c>
      <c r="JLE3" t="s">
        <v>4955</v>
      </c>
      <c r="JLF3" t="s">
        <v>4943</v>
      </c>
      <c r="JLG3" t="s">
        <v>4944</v>
      </c>
      <c r="JLH3" t="s">
        <v>4945</v>
      </c>
      <c r="JLI3" t="s">
        <v>4956</v>
      </c>
      <c r="JLJ3" t="s">
        <v>4944</v>
      </c>
      <c r="JLK3" t="s">
        <v>4957</v>
      </c>
      <c r="JLL3" t="s">
        <v>4958</v>
      </c>
      <c r="JLM3" t="s">
        <v>4948</v>
      </c>
      <c r="JLN3" t="s">
        <v>4949</v>
      </c>
      <c r="JLO3" t="s">
        <v>4944</v>
      </c>
      <c r="JLP3" t="s">
        <v>4945</v>
      </c>
      <c r="JLQ3" t="s">
        <v>4959</v>
      </c>
      <c r="JLR3" t="s">
        <v>4944</v>
      </c>
      <c r="JLS3" t="s">
        <v>4957</v>
      </c>
      <c r="JLT3" t="s">
        <v>4960</v>
      </c>
      <c r="JLU3" t="s">
        <v>4948</v>
      </c>
      <c r="JLV3" t="s">
        <v>4952</v>
      </c>
      <c r="JLW3" t="s">
        <v>4944</v>
      </c>
      <c r="JLX3" t="s">
        <v>4945</v>
      </c>
      <c r="JLY3" t="s">
        <v>4961</v>
      </c>
      <c r="JLZ3" t="s">
        <v>4944</v>
      </c>
      <c r="JMA3" t="s">
        <v>4957</v>
      </c>
      <c r="JMB3" t="s">
        <v>4962</v>
      </c>
      <c r="JMC3" t="s">
        <v>4963</v>
      </c>
      <c r="JMD3" t="s">
        <v>4949</v>
      </c>
      <c r="JME3" t="s">
        <v>4964</v>
      </c>
      <c r="JMF3" t="s">
        <v>4945</v>
      </c>
      <c r="JMG3" t="s">
        <v>4965</v>
      </c>
      <c r="JMH3" t="s">
        <v>4964</v>
      </c>
      <c r="JMI3" t="s">
        <v>4957</v>
      </c>
      <c r="JMJ3" t="s">
        <v>4960</v>
      </c>
      <c r="JMK3" t="s">
        <v>4948</v>
      </c>
      <c r="JML3" t="s">
        <v>4966</v>
      </c>
      <c r="JMM3" t="s">
        <v>4964</v>
      </c>
      <c r="JMN3" s="2">
        <v>45663</v>
      </c>
      <c r="JMO3" t="s">
        <v>4956</v>
      </c>
      <c r="JMP3" t="s">
        <v>4964</v>
      </c>
      <c r="JMQ3" t="s">
        <v>4967</v>
      </c>
      <c r="JMR3" t="s">
        <v>4968</v>
      </c>
      <c r="JMS3" t="s">
        <v>4969</v>
      </c>
      <c r="JMT3" t="s">
        <v>4970</v>
      </c>
      <c r="JMU3" t="s">
        <v>4971</v>
      </c>
      <c r="JMV3" t="s">
        <v>4972</v>
      </c>
      <c r="JMW3" t="s">
        <v>4973</v>
      </c>
      <c r="JMX3" t="s">
        <v>4971</v>
      </c>
      <c r="JMY3" t="s">
        <v>4948</v>
      </c>
      <c r="JMZ3" t="s">
        <v>4974</v>
      </c>
      <c r="JNA3" t="s">
        <v>4975</v>
      </c>
      <c r="JNB3" t="s">
        <v>4976</v>
      </c>
      <c r="JNC3" t="s">
        <v>4970</v>
      </c>
      <c r="JND3" t="s">
        <v>4971</v>
      </c>
      <c r="JNE3" t="s">
        <v>4972</v>
      </c>
      <c r="JNF3" t="s">
        <v>4973</v>
      </c>
      <c r="JNG3" t="s">
        <v>4971</v>
      </c>
      <c r="JNH3" t="s">
        <v>4948</v>
      </c>
      <c r="JNI3" t="s">
        <v>4974</v>
      </c>
      <c r="JNJ3" t="s">
        <v>4975</v>
      </c>
      <c r="JNK3" t="s">
        <v>4977</v>
      </c>
      <c r="JNL3" t="s">
        <v>4970</v>
      </c>
      <c r="JNM3" t="s">
        <v>4971</v>
      </c>
      <c r="JNN3" t="s">
        <v>4972</v>
      </c>
      <c r="JNO3" t="s">
        <v>4973</v>
      </c>
      <c r="JNP3" t="s">
        <v>4971</v>
      </c>
      <c r="JNQ3" t="s">
        <v>4948</v>
      </c>
      <c r="JNR3" t="s">
        <v>4978</v>
      </c>
      <c r="JNS3" t="s">
        <v>4979</v>
      </c>
      <c r="JNT3" t="s">
        <v>4967</v>
      </c>
      <c r="JNU3" t="s">
        <v>4980</v>
      </c>
      <c r="JNV3" t="s">
        <v>4975</v>
      </c>
      <c r="JNW3" t="s">
        <v>4981</v>
      </c>
      <c r="JNX3" t="s">
        <v>4982</v>
      </c>
      <c r="JNY3" t="s">
        <v>4983</v>
      </c>
      <c r="JNZ3" t="s">
        <v>2612</v>
      </c>
      <c r="JOA3" t="s">
        <v>4903</v>
      </c>
      <c r="JOB3" t="s">
        <v>4984</v>
      </c>
      <c r="JOC3" t="s">
        <v>4985</v>
      </c>
      <c r="JOD3" t="s">
        <v>4986</v>
      </c>
      <c r="JOE3" t="s">
        <v>4987</v>
      </c>
      <c r="JOF3" t="s">
        <v>4988</v>
      </c>
      <c r="JOG3" t="s">
        <v>4989</v>
      </c>
      <c r="JOH3" t="s">
        <v>4990</v>
      </c>
      <c r="JOI3" t="s">
        <v>4991</v>
      </c>
      <c r="JOJ3" t="s">
        <v>4992</v>
      </c>
      <c r="JOK3" t="s">
        <v>44</v>
      </c>
      <c r="JOL3" t="s">
        <v>126</v>
      </c>
      <c r="JOM3" t="s">
        <v>4993</v>
      </c>
      <c r="JON3" t="s">
        <v>4994</v>
      </c>
      <c r="JOO3" t="s">
        <v>1308</v>
      </c>
      <c r="JOP3" t="s">
        <v>4995</v>
      </c>
      <c r="JOQ3" t="s">
        <v>4996</v>
      </c>
      <c r="JOR3" t="s">
        <v>4997</v>
      </c>
      <c r="JOS3" t="s">
        <v>4998</v>
      </c>
      <c r="JOT3" t="s">
        <v>4999</v>
      </c>
      <c r="JOU3" t="s">
        <v>5000</v>
      </c>
      <c r="JOV3" t="s">
        <v>5001</v>
      </c>
      <c r="JOW3" t="s">
        <v>5002</v>
      </c>
      <c r="JOX3" t="s">
        <v>5003</v>
      </c>
      <c r="JOY3" t="s">
        <v>5004</v>
      </c>
      <c r="JOZ3" t="s">
        <v>4901</v>
      </c>
      <c r="JPA3" t="s">
        <v>4970</v>
      </c>
      <c r="JPB3" t="s">
        <v>5005</v>
      </c>
      <c r="JPC3" t="s">
        <v>5006</v>
      </c>
      <c r="JPD3" t="s">
        <v>4901</v>
      </c>
      <c r="JPE3" t="s">
        <v>5007</v>
      </c>
      <c r="JPF3" t="s">
        <v>5002</v>
      </c>
      <c r="JPG3" t="s">
        <v>5008</v>
      </c>
      <c r="JPH3" t="s">
        <v>5006</v>
      </c>
      <c r="JPI3" t="s">
        <v>4901</v>
      </c>
      <c r="JPJ3" t="s">
        <v>5009</v>
      </c>
      <c r="JPK3" t="s">
        <v>4982</v>
      </c>
      <c r="JPL3" t="s">
        <v>4983</v>
      </c>
      <c r="JPM3" t="s">
        <v>2612</v>
      </c>
      <c r="JPN3" t="s">
        <v>5010</v>
      </c>
      <c r="JPO3" t="s">
        <v>5011</v>
      </c>
      <c r="JPP3" t="s">
        <v>5012</v>
      </c>
      <c r="JPQ3" t="s">
        <v>5013</v>
      </c>
      <c r="JPR3" t="s">
        <v>5014</v>
      </c>
      <c r="JPS3">
        <v>5</v>
      </c>
      <c r="JPT3" t="s">
        <v>5015</v>
      </c>
      <c r="JPU3" t="s">
        <v>5016</v>
      </c>
      <c r="JPV3" t="s">
        <v>5017</v>
      </c>
      <c r="JPW3" t="s">
        <v>5018</v>
      </c>
      <c r="JPX3" t="s">
        <v>5019</v>
      </c>
      <c r="JPY3" t="s">
        <v>5020</v>
      </c>
      <c r="JPZ3" t="s">
        <v>5000</v>
      </c>
      <c r="JQA3" t="s">
        <v>5021</v>
      </c>
      <c r="JQB3" t="s">
        <v>5022</v>
      </c>
      <c r="JQC3" t="s">
        <v>5023</v>
      </c>
      <c r="JQD3" t="s">
        <v>5024</v>
      </c>
      <c r="JQE3" t="s">
        <v>4871</v>
      </c>
      <c r="JQF3" t="s">
        <v>4901</v>
      </c>
      <c r="JQG3" t="s">
        <v>4902</v>
      </c>
      <c r="JQH3" t="s">
        <v>292</v>
      </c>
      <c r="JQI3" t="s">
        <v>5010</v>
      </c>
      <c r="JQJ3" t="s">
        <v>5025</v>
      </c>
      <c r="JQK3" t="s">
        <v>5026</v>
      </c>
      <c r="JQL3">
        <v>5</v>
      </c>
      <c r="JQM3" t="s">
        <v>5027</v>
      </c>
      <c r="JQN3" t="s">
        <v>5028</v>
      </c>
      <c r="JQO3" t="s">
        <v>5029</v>
      </c>
      <c r="JQP3" t="s">
        <v>5030</v>
      </c>
      <c r="JQQ3" t="s">
        <v>5031</v>
      </c>
      <c r="JQR3" t="s">
        <v>5032</v>
      </c>
      <c r="JQS3">
        <v>2</v>
      </c>
      <c r="JQT3" t="s">
        <v>5033</v>
      </c>
      <c r="JQU3" t="s">
        <v>5034</v>
      </c>
      <c r="JQV3" t="s">
        <v>5035</v>
      </c>
      <c r="JQW3" t="s">
        <v>5036</v>
      </c>
      <c r="JQX3" t="s">
        <v>49</v>
      </c>
      <c r="JQY3" t="s">
        <v>5037</v>
      </c>
      <c r="JQZ3" t="s">
        <v>5000</v>
      </c>
      <c r="JRA3" t="s">
        <v>5038</v>
      </c>
      <c r="JRB3" t="s">
        <v>5000</v>
      </c>
      <c r="JRC3" t="s">
        <v>5039</v>
      </c>
      <c r="JRD3" t="s">
        <v>46</v>
      </c>
      <c r="JRE3" t="s">
        <v>5040</v>
      </c>
      <c r="JRF3" t="s">
        <v>5041</v>
      </c>
      <c r="JRG3" t="s">
        <v>5042</v>
      </c>
      <c r="JRH3" t="s">
        <v>5043</v>
      </c>
      <c r="JRI3" t="s">
        <v>5044</v>
      </c>
      <c r="JRJ3" t="s">
        <v>5045</v>
      </c>
      <c r="JRK3" t="s">
        <v>5046</v>
      </c>
      <c r="JRL3" t="s">
        <v>5047</v>
      </c>
      <c r="JRM3" t="s">
        <v>5048</v>
      </c>
      <c r="JRN3" t="s">
        <v>5049</v>
      </c>
      <c r="JRO3" t="s">
        <v>5050</v>
      </c>
      <c r="JRP3" t="s">
        <v>5051</v>
      </c>
      <c r="JRQ3" t="s">
        <v>5052</v>
      </c>
      <c r="JRR3" t="s">
        <v>5053</v>
      </c>
      <c r="JRS3" t="s">
        <v>5054</v>
      </c>
      <c r="JRT3" t="s">
        <v>5055</v>
      </c>
      <c r="JRU3" t="s">
        <v>5056</v>
      </c>
      <c r="JRV3" t="s">
        <v>5057</v>
      </c>
      <c r="JRW3" t="s">
        <v>388</v>
      </c>
      <c r="JRX3" t="s">
        <v>5058</v>
      </c>
      <c r="JRY3" t="s">
        <v>5059</v>
      </c>
      <c r="JRZ3" t="s">
        <v>5060</v>
      </c>
      <c r="JSA3" t="s">
        <v>44</v>
      </c>
      <c r="JSB3" t="s">
        <v>5061</v>
      </c>
      <c r="JSC3" t="s">
        <v>44</v>
      </c>
      <c r="JSD3" t="s">
        <v>125</v>
      </c>
      <c r="JSE3" t="s">
        <v>5062</v>
      </c>
      <c r="JSF3" t="s">
        <v>1693</v>
      </c>
      <c r="JSG3" t="s">
        <v>5063</v>
      </c>
      <c r="JSH3" t="s">
        <v>5064</v>
      </c>
      <c r="JSI3" t="s">
        <v>5065</v>
      </c>
      <c r="JSJ3">
        <v>10</v>
      </c>
      <c r="JSK3" t="s">
        <v>5066</v>
      </c>
      <c r="JSL3" t="s">
        <v>5067</v>
      </c>
      <c r="JSM3" t="s">
        <v>5068</v>
      </c>
      <c r="JSN3" t="s">
        <v>5069</v>
      </c>
      <c r="JSO3" t="s">
        <v>388</v>
      </c>
      <c r="JSP3" t="s">
        <v>5070</v>
      </c>
      <c r="JSQ3" t="s">
        <v>5071</v>
      </c>
      <c r="JSR3" t="s">
        <v>5072</v>
      </c>
      <c r="JSS3" t="s">
        <v>5073</v>
      </c>
      <c r="JST3" t="s">
        <v>5074</v>
      </c>
      <c r="JSU3" t="s">
        <v>44</v>
      </c>
      <c r="JSV3" t="s">
        <v>125</v>
      </c>
      <c r="JSW3" t="s">
        <v>5062</v>
      </c>
      <c r="JSX3" t="s">
        <v>1693</v>
      </c>
      <c r="JSY3" t="s">
        <v>5075</v>
      </c>
      <c r="JSZ3" t="s">
        <v>46</v>
      </c>
      <c r="JTA3" t="s">
        <v>5040</v>
      </c>
      <c r="JTB3" t="s">
        <v>5076</v>
      </c>
      <c r="JTC3" t="s">
        <v>5077</v>
      </c>
      <c r="JTD3" t="s">
        <v>5042</v>
      </c>
      <c r="JTE3" t="s">
        <v>5078</v>
      </c>
      <c r="JTF3" t="s">
        <v>5079</v>
      </c>
      <c r="JTG3" t="s">
        <v>5080</v>
      </c>
      <c r="JTH3" t="s">
        <v>5081</v>
      </c>
      <c r="JTI3" t="s">
        <v>44</v>
      </c>
      <c r="JTJ3" t="s">
        <v>125</v>
      </c>
      <c r="JTK3" t="s">
        <v>5082</v>
      </c>
      <c r="JTL3" t="s">
        <v>5083</v>
      </c>
      <c r="JTM3" t="s">
        <v>5084</v>
      </c>
      <c r="JTN3" t="s">
        <v>5085</v>
      </c>
      <c r="JTO3" t="s">
        <v>5086</v>
      </c>
      <c r="JTP3" t="s">
        <v>5087</v>
      </c>
      <c r="JTQ3" t="s">
        <v>5088</v>
      </c>
      <c r="JTR3" t="s">
        <v>5087</v>
      </c>
      <c r="JTS3" t="s">
        <v>5089</v>
      </c>
      <c r="JTT3" t="s">
        <v>5090</v>
      </c>
      <c r="JTU3" t="s">
        <v>1129</v>
      </c>
      <c r="JTV3" t="s">
        <v>5091</v>
      </c>
      <c r="JTW3" t="s">
        <v>5092</v>
      </c>
      <c r="JTX3" t="s">
        <v>5087</v>
      </c>
      <c r="JTY3" t="s">
        <v>5093</v>
      </c>
      <c r="JTZ3" t="s">
        <v>5090</v>
      </c>
      <c r="JUA3" t="s">
        <v>5094</v>
      </c>
      <c r="JUB3" t="s">
        <v>5095</v>
      </c>
      <c r="JUC3" t="s">
        <v>1279</v>
      </c>
      <c r="JUD3" t="s">
        <v>5096</v>
      </c>
      <c r="JUE3" t="s">
        <v>5035</v>
      </c>
      <c r="JUF3" t="s">
        <v>5097</v>
      </c>
      <c r="JUG3" t="s">
        <v>5090</v>
      </c>
      <c r="JUH3" t="s">
        <v>530</v>
      </c>
      <c r="JUI3" t="s">
        <v>5098</v>
      </c>
      <c r="JUJ3" t="s">
        <v>5099</v>
      </c>
      <c r="JUK3" t="s">
        <v>5100</v>
      </c>
      <c r="JUL3" t="s">
        <v>1692</v>
      </c>
      <c r="JUM3" t="s">
        <v>5094</v>
      </c>
      <c r="JUN3" t="s">
        <v>5101</v>
      </c>
      <c r="JUO3" t="s">
        <v>5102</v>
      </c>
      <c r="JUP3" t="s">
        <v>5103</v>
      </c>
      <c r="JUQ3" t="s">
        <v>5104</v>
      </c>
      <c r="JUR3" t="s">
        <v>5087</v>
      </c>
      <c r="JUS3" t="s">
        <v>5105</v>
      </c>
      <c r="JUT3" t="s">
        <v>5106</v>
      </c>
      <c r="JUU3" t="s">
        <v>5087</v>
      </c>
      <c r="JUV3" t="s">
        <v>5107</v>
      </c>
      <c r="JUW3" t="s">
        <v>5087</v>
      </c>
      <c r="JUX3" t="s">
        <v>5108</v>
      </c>
      <c r="JUY3" t="s">
        <v>5087</v>
      </c>
      <c r="JUZ3" t="s">
        <v>5109</v>
      </c>
      <c r="JVA3" t="s">
        <v>5087</v>
      </c>
      <c r="JVB3" t="s">
        <v>5110</v>
      </c>
      <c r="JVC3" t="s">
        <v>5087</v>
      </c>
      <c r="JVD3" t="s">
        <v>5111</v>
      </c>
      <c r="JVE3" t="s">
        <v>5087</v>
      </c>
      <c r="JVF3" t="s">
        <v>5112</v>
      </c>
      <c r="JVG3" t="s">
        <v>5087</v>
      </c>
      <c r="JVH3" t="s">
        <v>5113</v>
      </c>
      <c r="JVI3" t="s">
        <v>5114</v>
      </c>
      <c r="JVJ3" t="s">
        <v>5115</v>
      </c>
      <c r="JVK3" t="s">
        <v>5116</v>
      </c>
      <c r="JVL3" t="s">
        <v>5117</v>
      </c>
      <c r="JVM3" t="s">
        <v>5118</v>
      </c>
      <c r="JVN3" t="s">
        <v>5119</v>
      </c>
      <c r="JVO3" t="s">
        <v>5120</v>
      </c>
      <c r="JVP3" t="s">
        <v>5121</v>
      </c>
      <c r="JVQ3" t="s">
        <v>4982</v>
      </c>
      <c r="JVR3" t="s">
        <v>292</v>
      </c>
      <c r="JVS3" t="s">
        <v>5122</v>
      </c>
      <c r="JVT3" t="s">
        <v>5123</v>
      </c>
      <c r="JVU3" t="s">
        <v>46</v>
      </c>
      <c r="JVV3" t="s">
        <v>1882</v>
      </c>
      <c r="JVW3" t="s">
        <v>5124</v>
      </c>
      <c r="JVX3" t="s">
        <v>5125</v>
      </c>
      <c r="JVY3" t="s">
        <v>292</v>
      </c>
      <c r="JVZ3" t="s">
        <v>5126</v>
      </c>
      <c r="JWA3" t="s">
        <v>5127</v>
      </c>
      <c r="JWB3" t="s">
        <v>46</v>
      </c>
      <c r="JWC3" t="s">
        <v>5128</v>
      </c>
      <c r="JWD3" t="s">
        <v>5129</v>
      </c>
      <c r="JWE3" t="s">
        <v>5130</v>
      </c>
      <c r="JWF3" t="s">
        <v>4871</v>
      </c>
      <c r="JWG3" t="s">
        <v>2074</v>
      </c>
      <c r="JWH3" t="s">
        <v>5131</v>
      </c>
      <c r="JWI3" t="s">
        <v>5132</v>
      </c>
      <c r="JWJ3" t="s">
        <v>5133</v>
      </c>
      <c r="JWK3" t="s">
        <v>5134</v>
      </c>
      <c r="JWL3" t="s">
        <v>5135</v>
      </c>
      <c r="JWM3" t="s">
        <v>4983</v>
      </c>
      <c r="JWN3" t="s">
        <v>2612</v>
      </c>
      <c r="JWO3" t="s">
        <v>5136</v>
      </c>
      <c r="JWP3" t="s">
        <v>5137</v>
      </c>
      <c r="JWQ3" t="s">
        <v>5138</v>
      </c>
      <c r="JWR3" t="s">
        <v>5139</v>
      </c>
      <c r="JWS3" t="s">
        <v>5140</v>
      </c>
      <c r="JWT3" t="s">
        <v>5141</v>
      </c>
      <c r="JWU3">
        <v>5</v>
      </c>
      <c r="JWV3" t="s">
        <v>4878</v>
      </c>
      <c r="JWW3" t="s">
        <v>5142</v>
      </c>
      <c r="JWX3" t="s">
        <v>5143</v>
      </c>
      <c r="JWY3" t="s">
        <v>5144</v>
      </c>
      <c r="JWZ3" t="s">
        <v>5145</v>
      </c>
      <c r="JXA3" t="s">
        <v>5146</v>
      </c>
      <c r="JXB3" t="s">
        <v>5147</v>
      </c>
      <c r="JXC3" t="s">
        <v>4871</v>
      </c>
      <c r="JXD3" t="s">
        <v>2074</v>
      </c>
      <c r="JXE3" t="s">
        <v>5131</v>
      </c>
      <c r="JXF3" t="s">
        <v>5148</v>
      </c>
      <c r="JXG3" t="s">
        <v>5149</v>
      </c>
      <c r="JXH3" t="s">
        <v>5150</v>
      </c>
      <c r="JXI3" t="s">
        <v>5151</v>
      </c>
      <c r="JXJ3" t="s">
        <v>4983</v>
      </c>
      <c r="JXK3" t="s">
        <v>2612</v>
      </c>
      <c r="JXL3" t="s">
        <v>5136</v>
      </c>
      <c r="JXM3" t="s">
        <v>5137</v>
      </c>
      <c r="JXN3" t="s">
        <v>5138</v>
      </c>
      <c r="JXO3" t="s">
        <v>5139</v>
      </c>
      <c r="JXP3" t="s">
        <v>5140</v>
      </c>
      <c r="JXQ3" t="s">
        <v>5141</v>
      </c>
      <c r="JXR3">
        <v>5</v>
      </c>
      <c r="JXS3" t="s">
        <v>5152</v>
      </c>
      <c r="JXT3" t="s">
        <v>5153</v>
      </c>
      <c r="JXU3" t="s">
        <v>5154</v>
      </c>
      <c r="JXV3" t="s">
        <v>3919</v>
      </c>
      <c r="JXW3" t="s">
        <v>5144</v>
      </c>
      <c r="JXX3" t="s">
        <v>5155</v>
      </c>
      <c r="JXY3" t="s">
        <v>5156</v>
      </c>
      <c r="JXZ3" t="s">
        <v>44</v>
      </c>
      <c r="JYA3" t="s">
        <v>5157</v>
      </c>
      <c r="JYB3" t="s">
        <v>5158</v>
      </c>
      <c r="JYC3" t="s">
        <v>4129</v>
      </c>
      <c r="JYD3" t="s">
        <v>4130</v>
      </c>
      <c r="JYE3" t="s">
        <v>4131</v>
      </c>
      <c r="JYF3" t="s">
        <v>5159</v>
      </c>
      <c r="JYG3" t="s">
        <v>3796</v>
      </c>
      <c r="JYH3" t="s">
        <v>172</v>
      </c>
      <c r="JYI3" t="s">
        <v>3796</v>
      </c>
      <c r="JYJ3" t="s">
        <v>2493</v>
      </c>
      <c r="JYK3" t="s">
        <v>3796</v>
      </c>
      <c r="JYL3" t="s">
        <v>5160</v>
      </c>
      <c r="JYM3" t="s">
        <v>3796</v>
      </c>
      <c r="JYN3" t="s">
        <v>4164</v>
      </c>
      <c r="JYO3" t="s">
        <v>3806</v>
      </c>
      <c r="JYP3" t="s">
        <v>5161</v>
      </c>
      <c r="JYQ3" t="s">
        <v>804</v>
      </c>
      <c r="JYR3" t="s">
        <v>1430</v>
      </c>
      <c r="JYS3" t="s">
        <v>3796</v>
      </c>
      <c r="JYT3" t="s">
        <v>5162</v>
      </c>
      <c r="JYU3" t="s">
        <v>804</v>
      </c>
      <c r="JYV3" t="s">
        <v>1430</v>
      </c>
      <c r="JYW3" t="s">
        <v>5163</v>
      </c>
      <c r="JYX3" t="s">
        <v>5164</v>
      </c>
      <c r="JYY3" t="s">
        <v>44</v>
      </c>
      <c r="JYZ3" t="s">
        <v>2708</v>
      </c>
      <c r="JZA3" t="s">
        <v>5165</v>
      </c>
      <c r="JZB3" t="s">
        <v>5166</v>
      </c>
      <c r="JZC3" t="s">
        <v>5167</v>
      </c>
      <c r="JZD3" t="s">
        <v>5168</v>
      </c>
      <c r="JZE3" t="s">
        <v>5169</v>
      </c>
      <c r="JZF3" t="s">
        <v>5170</v>
      </c>
      <c r="JZG3" t="s">
        <v>5171</v>
      </c>
      <c r="JZH3" t="s">
        <v>2132</v>
      </c>
      <c r="JZI3" t="s">
        <v>46</v>
      </c>
      <c r="JZJ3" t="s">
        <v>5172</v>
      </c>
      <c r="JZK3" t="s">
        <v>5173</v>
      </c>
      <c r="JZL3" t="s">
        <v>5174</v>
      </c>
      <c r="JZM3" t="s">
        <v>5175</v>
      </c>
      <c r="JZN3" t="s">
        <v>4051</v>
      </c>
      <c r="JZO3" t="s">
        <v>5176</v>
      </c>
      <c r="JZP3" t="s">
        <v>850</v>
      </c>
      <c r="JZQ3" t="s">
        <v>388</v>
      </c>
      <c r="JZR3" t="s">
        <v>5177</v>
      </c>
      <c r="JZS3" t="s">
        <v>5178</v>
      </c>
      <c r="JZT3" t="s">
        <v>5179</v>
      </c>
      <c r="JZU3" t="s">
        <v>5180</v>
      </c>
      <c r="JZV3" t="s">
        <v>5181</v>
      </c>
      <c r="JZW3" t="s">
        <v>5182</v>
      </c>
      <c r="JZX3" t="s">
        <v>5183</v>
      </c>
      <c r="JZY3" t="s">
        <v>5184</v>
      </c>
      <c r="JZZ3" t="s">
        <v>5185</v>
      </c>
      <c r="KAA3" t="s">
        <v>5186</v>
      </c>
      <c r="KAB3" t="s">
        <v>5187</v>
      </c>
      <c r="KAC3" t="s">
        <v>5188</v>
      </c>
      <c r="KAD3" t="s">
        <v>5189</v>
      </c>
      <c r="KAE3" t="s">
        <v>5190</v>
      </c>
      <c r="KAF3" t="s">
        <v>5191</v>
      </c>
      <c r="KAG3" t="s">
        <v>5192</v>
      </c>
      <c r="KAH3" t="s">
        <v>5193</v>
      </c>
      <c r="KAI3" t="s">
        <v>5194</v>
      </c>
      <c r="KAJ3" t="s">
        <v>5195</v>
      </c>
      <c r="KAK3" t="s">
        <v>5196</v>
      </c>
      <c r="KAL3" t="s">
        <v>255</v>
      </c>
      <c r="KAM3" t="s">
        <v>5197</v>
      </c>
      <c r="KAN3" t="s">
        <v>5198</v>
      </c>
      <c r="KAO3" t="s">
        <v>5199</v>
      </c>
      <c r="KAP3" t="s">
        <v>5200</v>
      </c>
      <c r="KAQ3" t="s">
        <v>5201</v>
      </c>
      <c r="KAR3" t="s">
        <v>5202</v>
      </c>
      <c r="KAS3" t="s">
        <v>5203</v>
      </c>
      <c r="KAT3" t="s">
        <v>5204</v>
      </c>
      <c r="KAU3" t="s">
        <v>5196</v>
      </c>
      <c r="KAV3" t="s">
        <v>255</v>
      </c>
      <c r="KAW3" t="s">
        <v>5205</v>
      </c>
      <c r="KAX3" t="s">
        <v>5206</v>
      </c>
      <c r="KAY3" t="s">
        <v>5207</v>
      </c>
      <c r="KAZ3" t="s">
        <v>5208</v>
      </c>
      <c r="KBA3" t="s">
        <v>5209</v>
      </c>
      <c r="KBB3" t="s">
        <v>5210</v>
      </c>
      <c r="KBC3" t="s">
        <v>5211</v>
      </c>
      <c r="KBD3" t="s">
        <v>5212</v>
      </c>
      <c r="KBE3" t="s">
        <v>5213</v>
      </c>
      <c r="KBF3" t="s">
        <v>5214</v>
      </c>
      <c r="KBG3" t="s">
        <v>5215</v>
      </c>
      <c r="KBH3" t="s">
        <v>5216</v>
      </c>
      <c r="KBI3" t="s">
        <v>5217</v>
      </c>
      <c r="KBJ3" t="s">
        <v>5218</v>
      </c>
      <c r="KBK3" t="s">
        <v>5219</v>
      </c>
      <c r="KBL3" t="s">
        <v>5220</v>
      </c>
      <c r="KBM3" t="s">
        <v>5221</v>
      </c>
      <c r="KBN3" t="s">
        <v>5222</v>
      </c>
      <c r="KBO3" t="s">
        <v>5223</v>
      </c>
      <c r="KBP3" t="s">
        <v>5224</v>
      </c>
      <c r="KBQ3" t="s">
        <v>5225</v>
      </c>
      <c r="KBR3" t="s">
        <v>5226</v>
      </c>
      <c r="KBS3" t="s">
        <v>5227</v>
      </c>
      <c r="KBT3" t="s">
        <v>255</v>
      </c>
      <c r="KBU3" t="s">
        <v>5228</v>
      </c>
      <c r="KBV3" t="s">
        <v>5229</v>
      </c>
      <c r="KBW3" t="s">
        <v>5230</v>
      </c>
      <c r="KBX3" t="s">
        <v>5231</v>
      </c>
      <c r="KBY3" t="s">
        <v>5232</v>
      </c>
      <c r="KBZ3" t="s">
        <v>5233</v>
      </c>
      <c r="KCA3" t="s">
        <v>5234</v>
      </c>
      <c r="KCB3" t="s">
        <v>5235</v>
      </c>
      <c r="KCC3" t="s">
        <v>5202</v>
      </c>
      <c r="KCD3" t="s">
        <v>5236</v>
      </c>
      <c r="KCE3" t="s">
        <v>5237</v>
      </c>
      <c r="KCF3" t="s">
        <v>5238</v>
      </c>
      <c r="KCG3" t="s">
        <v>5239</v>
      </c>
      <c r="KCH3" t="s">
        <v>5240</v>
      </c>
      <c r="KCI3" t="s">
        <v>5241</v>
      </c>
      <c r="KCJ3" t="s">
        <v>5242</v>
      </c>
      <c r="KCK3" t="s">
        <v>5198</v>
      </c>
      <c r="KCL3" t="s">
        <v>5199</v>
      </c>
      <c r="KCM3" t="s">
        <v>5200</v>
      </c>
      <c r="KCN3" t="s">
        <v>5209</v>
      </c>
      <c r="KCO3" t="s">
        <v>5243</v>
      </c>
      <c r="KCP3" t="s">
        <v>5244</v>
      </c>
      <c r="KCQ3" t="s">
        <v>5245</v>
      </c>
      <c r="KCR3" t="s">
        <v>5246</v>
      </c>
      <c r="KCS3" t="s">
        <v>255</v>
      </c>
      <c r="KCT3" t="s">
        <v>5247</v>
      </c>
      <c r="KCU3" t="s">
        <v>5248</v>
      </c>
      <c r="KCV3" t="s">
        <v>5249</v>
      </c>
      <c r="KCW3" t="s">
        <v>255</v>
      </c>
      <c r="KCX3" t="s">
        <v>5250</v>
      </c>
      <c r="KCY3" t="s">
        <v>5251</v>
      </c>
      <c r="KCZ3" t="s">
        <v>5252</v>
      </c>
      <c r="KDA3" t="s">
        <v>44</v>
      </c>
      <c r="KDB3" t="s">
        <v>5253</v>
      </c>
      <c r="KDC3" t="s">
        <v>5252</v>
      </c>
      <c r="KDD3" t="s">
        <v>44</v>
      </c>
      <c r="KDE3" t="s">
        <v>5254</v>
      </c>
      <c r="KDF3" t="s">
        <v>44</v>
      </c>
      <c r="KDG3" t="s">
        <v>5255</v>
      </c>
      <c r="KDH3" t="s">
        <v>356</v>
      </c>
      <c r="KDI3" t="s">
        <v>5256</v>
      </c>
      <c r="KDJ3" t="s">
        <v>5202</v>
      </c>
      <c r="KDK3" t="s">
        <v>5257</v>
      </c>
      <c r="KDL3" t="s">
        <v>5258</v>
      </c>
      <c r="KDM3" t="s">
        <v>5259</v>
      </c>
      <c r="KDN3" t="s">
        <v>255</v>
      </c>
      <c r="KDO3" t="s">
        <v>5260</v>
      </c>
      <c r="KDP3" t="s">
        <v>5261</v>
      </c>
      <c r="KDQ3" t="s">
        <v>5262</v>
      </c>
      <c r="KDR3" t="s">
        <v>5263</v>
      </c>
      <c r="KDS3" t="s">
        <v>5264</v>
      </c>
      <c r="KDT3" t="s">
        <v>5265</v>
      </c>
      <c r="KDU3" t="s">
        <v>5266</v>
      </c>
      <c r="KDV3" t="s">
        <v>5267</v>
      </c>
      <c r="KDW3" t="s">
        <v>255</v>
      </c>
      <c r="KDX3" t="s">
        <v>5268</v>
      </c>
      <c r="KDY3" t="s">
        <v>5269</v>
      </c>
      <c r="KDZ3" t="s">
        <v>5270</v>
      </c>
      <c r="KEA3" t="s">
        <v>5271</v>
      </c>
      <c r="KEB3" t="s">
        <v>5272</v>
      </c>
      <c r="KEC3" t="s">
        <v>5273</v>
      </c>
      <c r="KED3" t="s">
        <v>5274</v>
      </c>
      <c r="KEE3" t="s">
        <v>4744</v>
      </c>
      <c r="KEF3" t="s">
        <v>5275</v>
      </c>
      <c r="KEG3" t="s">
        <v>5276</v>
      </c>
      <c r="KEH3" t="s">
        <v>4744</v>
      </c>
      <c r="KEI3" t="s">
        <v>5277</v>
      </c>
      <c r="KEJ3" t="s">
        <v>5278</v>
      </c>
      <c r="KEK3" t="s">
        <v>5279</v>
      </c>
      <c r="KEL3" t="s">
        <v>5280</v>
      </c>
      <c r="KEM3" t="s">
        <v>5281</v>
      </c>
      <c r="KEN3" t="s">
        <v>5282</v>
      </c>
      <c r="KEO3" t="s">
        <v>255</v>
      </c>
      <c r="KEP3" t="s">
        <v>5283</v>
      </c>
      <c r="KEQ3" t="s">
        <v>5284</v>
      </c>
      <c r="KER3" t="s">
        <v>5285</v>
      </c>
      <c r="KES3" t="s">
        <v>5286</v>
      </c>
      <c r="KET3" t="s">
        <v>5287</v>
      </c>
      <c r="KEU3" t="s">
        <v>5288</v>
      </c>
      <c r="KEV3" t="s">
        <v>5289</v>
      </c>
      <c r="KEW3" t="s">
        <v>5290</v>
      </c>
      <c r="KEX3" t="s">
        <v>5291</v>
      </c>
      <c r="KEY3" t="s">
        <v>5292</v>
      </c>
      <c r="KEZ3" t="s">
        <v>5293</v>
      </c>
      <c r="KFA3" t="s">
        <v>5294</v>
      </c>
      <c r="KFB3" t="s">
        <v>5290</v>
      </c>
      <c r="KFC3" t="s">
        <v>5291</v>
      </c>
      <c r="KFD3" t="s">
        <v>5295</v>
      </c>
      <c r="KFE3" t="s">
        <v>5293</v>
      </c>
      <c r="KFF3" t="s">
        <v>5296</v>
      </c>
      <c r="KFG3" t="s">
        <v>5297</v>
      </c>
      <c r="KFH3" t="s">
        <v>5290</v>
      </c>
      <c r="KFI3" t="s">
        <v>5298</v>
      </c>
      <c r="KFJ3" t="s">
        <v>5299</v>
      </c>
      <c r="KFK3" t="s">
        <v>5300</v>
      </c>
      <c r="KFL3" t="s">
        <v>5301</v>
      </c>
      <c r="KFM3" t="s">
        <v>5302</v>
      </c>
      <c r="KFN3" t="s">
        <v>5303</v>
      </c>
      <c r="KFO3" t="s">
        <v>5304</v>
      </c>
      <c r="KFP3" t="s">
        <v>5290</v>
      </c>
      <c r="KFQ3" t="s">
        <v>5305</v>
      </c>
      <c r="KFR3" t="s">
        <v>5299</v>
      </c>
      <c r="KFS3" t="s">
        <v>5306</v>
      </c>
      <c r="KFT3" t="s">
        <v>5307</v>
      </c>
      <c r="KFU3" t="s">
        <v>5302</v>
      </c>
      <c r="KFV3" t="s">
        <v>5308</v>
      </c>
      <c r="KFW3" t="s">
        <v>5309</v>
      </c>
      <c r="KFX3" t="s">
        <v>5290</v>
      </c>
      <c r="KFY3" t="s">
        <v>5310</v>
      </c>
      <c r="KFZ3" t="s">
        <v>5299</v>
      </c>
      <c r="KGA3" t="s">
        <v>5311</v>
      </c>
      <c r="KGB3" t="s">
        <v>5312</v>
      </c>
      <c r="KGC3" t="s">
        <v>5302</v>
      </c>
      <c r="KGD3" t="s">
        <v>5313</v>
      </c>
      <c r="KGE3" t="s">
        <v>5314</v>
      </c>
      <c r="KGF3" t="s">
        <v>5290</v>
      </c>
      <c r="KGG3" t="s">
        <v>5315</v>
      </c>
      <c r="KGH3" t="s">
        <v>5299</v>
      </c>
      <c r="KGI3" t="s">
        <v>5316</v>
      </c>
      <c r="KGJ3" t="s">
        <v>5317</v>
      </c>
      <c r="KGK3" t="s">
        <v>5302</v>
      </c>
      <c r="KGL3" t="s">
        <v>5318</v>
      </c>
      <c r="KGM3" t="s">
        <v>5290</v>
      </c>
      <c r="KGN3" t="s">
        <v>5319</v>
      </c>
      <c r="KGO3" t="s">
        <v>5299</v>
      </c>
      <c r="KGP3" t="s">
        <v>5320</v>
      </c>
      <c r="KGQ3" t="s">
        <v>5321</v>
      </c>
      <c r="KGR3" t="s">
        <v>5302</v>
      </c>
      <c r="KGS3" t="s">
        <v>5322</v>
      </c>
      <c r="KGT3" t="s">
        <v>5290</v>
      </c>
      <c r="KGU3" t="s">
        <v>5323</v>
      </c>
      <c r="KGV3" t="s">
        <v>5299</v>
      </c>
      <c r="KGW3" t="s">
        <v>5324</v>
      </c>
      <c r="KGX3" t="s">
        <v>5325</v>
      </c>
      <c r="KGY3" t="s">
        <v>5302</v>
      </c>
      <c r="KGZ3" t="s">
        <v>5326</v>
      </c>
      <c r="KHA3" t="s">
        <v>5290</v>
      </c>
      <c r="KHB3" t="s">
        <v>5327</v>
      </c>
      <c r="KHC3" t="s">
        <v>5299</v>
      </c>
      <c r="KHD3" t="s">
        <v>5328</v>
      </c>
      <c r="KHE3" t="s">
        <v>5329</v>
      </c>
      <c r="KHF3" t="s">
        <v>5302</v>
      </c>
      <c r="KHG3" t="s">
        <v>5330</v>
      </c>
      <c r="KHH3" t="s">
        <v>5290</v>
      </c>
      <c r="KHI3" t="s">
        <v>5331</v>
      </c>
      <c r="KHJ3" t="s">
        <v>5299</v>
      </c>
      <c r="KHK3" t="s">
        <v>5332</v>
      </c>
      <c r="KHL3" t="s">
        <v>5333</v>
      </c>
      <c r="KHM3" t="s">
        <v>5302</v>
      </c>
      <c r="KHN3" t="s">
        <v>5334</v>
      </c>
      <c r="KHO3" t="s">
        <v>5290</v>
      </c>
      <c r="KHP3" t="s">
        <v>5335</v>
      </c>
      <c r="KHQ3" t="s">
        <v>5299</v>
      </c>
      <c r="KHR3" t="s">
        <v>5336</v>
      </c>
      <c r="KHS3" t="s">
        <v>5337</v>
      </c>
      <c r="KHT3" t="s">
        <v>5302</v>
      </c>
      <c r="KHU3" t="s">
        <v>5338</v>
      </c>
      <c r="KHV3" t="s">
        <v>5290</v>
      </c>
      <c r="KHW3" t="s">
        <v>5339</v>
      </c>
      <c r="KHX3" t="s">
        <v>5340</v>
      </c>
      <c r="KHY3" t="s">
        <v>5341</v>
      </c>
      <c r="KHZ3" t="s">
        <v>5342</v>
      </c>
      <c r="KIA3" t="s">
        <v>5343</v>
      </c>
      <c r="KIB3" t="s">
        <v>5290</v>
      </c>
      <c r="KIC3" t="s">
        <v>5344</v>
      </c>
      <c r="KID3" t="s">
        <v>5345</v>
      </c>
      <c r="KIE3" t="s">
        <v>5346</v>
      </c>
      <c r="KIF3" t="s">
        <v>5347</v>
      </c>
      <c r="KIG3" t="s">
        <v>5302</v>
      </c>
      <c r="KIH3" t="s">
        <v>5348</v>
      </c>
      <c r="KII3" t="s">
        <v>5349</v>
      </c>
      <c r="KIJ3" t="s">
        <v>5290</v>
      </c>
      <c r="KIK3" t="s">
        <v>5350</v>
      </c>
      <c r="KIL3" t="s">
        <v>5345</v>
      </c>
      <c r="KIM3" t="s">
        <v>5351</v>
      </c>
      <c r="KIN3" t="s">
        <v>5352</v>
      </c>
      <c r="KIO3" t="s">
        <v>5302</v>
      </c>
      <c r="KIP3" t="s">
        <v>5353</v>
      </c>
      <c r="KIQ3" t="s">
        <v>5354</v>
      </c>
      <c r="KIR3" t="s">
        <v>5290</v>
      </c>
      <c r="KIS3" t="s">
        <v>5355</v>
      </c>
      <c r="KIT3" t="s">
        <v>5345</v>
      </c>
      <c r="KIU3" t="s">
        <v>5356</v>
      </c>
      <c r="KIV3" t="s">
        <v>5357</v>
      </c>
      <c r="KIW3" t="s">
        <v>5302</v>
      </c>
      <c r="KIX3" t="s">
        <v>5358</v>
      </c>
      <c r="KIY3" t="s">
        <v>5359</v>
      </c>
      <c r="KIZ3" t="s">
        <v>5290</v>
      </c>
      <c r="KJA3" t="s">
        <v>5360</v>
      </c>
      <c r="KJB3" t="s">
        <v>5345</v>
      </c>
      <c r="KJC3" t="s">
        <v>5361</v>
      </c>
      <c r="KJD3" t="s">
        <v>5362</v>
      </c>
      <c r="KJE3" t="s">
        <v>5302</v>
      </c>
      <c r="KJF3" t="s">
        <v>5363</v>
      </c>
      <c r="KJG3" t="s">
        <v>5364</v>
      </c>
      <c r="KJH3" t="s">
        <v>5290</v>
      </c>
      <c r="KJI3" t="s">
        <v>5365</v>
      </c>
      <c r="KJJ3" t="s">
        <v>5366</v>
      </c>
      <c r="KJK3" t="s">
        <v>5367</v>
      </c>
      <c r="KJL3" t="s">
        <v>5368</v>
      </c>
      <c r="KJM3" t="s">
        <v>5369</v>
      </c>
      <c r="KJN3" t="s">
        <v>5302</v>
      </c>
      <c r="KJO3" t="s">
        <v>5370</v>
      </c>
      <c r="KJP3" t="s">
        <v>5371</v>
      </c>
      <c r="KJQ3" t="s">
        <v>5290</v>
      </c>
      <c r="KJR3" t="s">
        <v>5372</v>
      </c>
      <c r="KJS3" t="s">
        <v>5366</v>
      </c>
      <c r="KJT3" t="s">
        <v>5373</v>
      </c>
      <c r="KJU3" t="s">
        <v>5374</v>
      </c>
      <c r="KJV3" t="s">
        <v>5369</v>
      </c>
      <c r="KJW3" t="s">
        <v>5302</v>
      </c>
      <c r="KJX3" t="s">
        <v>5375</v>
      </c>
      <c r="KJY3" t="s">
        <v>5297</v>
      </c>
      <c r="KJZ3" t="s">
        <v>5290</v>
      </c>
      <c r="KKA3" t="s">
        <v>5298</v>
      </c>
      <c r="KKB3" t="s">
        <v>5376</v>
      </c>
      <c r="KKC3" t="s">
        <v>5300</v>
      </c>
      <c r="KKD3" t="s">
        <v>5301</v>
      </c>
      <c r="KKE3" t="s">
        <v>5377</v>
      </c>
      <c r="KKF3" t="s">
        <v>5378</v>
      </c>
      <c r="KKG3" t="s">
        <v>5304</v>
      </c>
      <c r="KKH3" t="s">
        <v>5290</v>
      </c>
      <c r="KKI3" t="s">
        <v>5305</v>
      </c>
      <c r="KKJ3" t="s">
        <v>5376</v>
      </c>
      <c r="KKK3" t="s">
        <v>5306</v>
      </c>
      <c r="KKL3" t="s">
        <v>5307</v>
      </c>
      <c r="KKM3" t="s">
        <v>5377</v>
      </c>
      <c r="KKN3" t="s">
        <v>5379</v>
      </c>
      <c r="KKO3" t="s">
        <v>5290</v>
      </c>
      <c r="KKP3" t="s">
        <v>5380</v>
      </c>
      <c r="KKQ3" t="s">
        <v>5376</v>
      </c>
      <c r="KKR3" t="s">
        <v>5381</v>
      </c>
      <c r="KKS3" t="s">
        <v>5382</v>
      </c>
      <c r="KKT3" t="s">
        <v>5377</v>
      </c>
      <c r="KKU3" t="s">
        <v>5383</v>
      </c>
      <c r="KKV3" t="s">
        <v>5290</v>
      </c>
      <c r="KKW3" t="s">
        <v>5384</v>
      </c>
      <c r="KKX3" t="s">
        <v>5376</v>
      </c>
      <c r="KKY3" t="s">
        <v>5385</v>
      </c>
      <c r="KKZ3" t="s">
        <v>5386</v>
      </c>
      <c r="KLA3" t="s">
        <v>5377</v>
      </c>
      <c r="KLB3" t="s">
        <v>5387</v>
      </c>
      <c r="KLC3" t="s">
        <v>5388</v>
      </c>
      <c r="KLD3" t="s">
        <v>5290</v>
      </c>
      <c r="KLE3" t="s">
        <v>5389</v>
      </c>
      <c r="KLF3" t="s">
        <v>5390</v>
      </c>
      <c r="KLG3" t="s">
        <v>5362</v>
      </c>
      <c r="KLH3" t="s">
        <v>5391</v>
      </c>
      <c r="KLI3" t="s">
        <v>5392</v>
      </c>
      <c r="KLJ3" t="s">
        <v>5393</v>
      </c>
      <c r="KLK3" t="s">
        <v>5290</v>
      </c>
      <c r="KLL3" t="s">
        <v>5394</v>
      </c>
      <c r="KLM3" t="s">
        <v>5395</v>
      </c>
      <c r="KLN3" t="s">
        <v>5396</v>
      </c>
      <c r="KLO3" t="s">
        <v>5391</v>
      </c>
      <c r="KLP3" t="s">
        <v>5397</v>
      </c>
      <c r="KLQ3" t="s">
        <v>5364</v>
      </c>
      <c r="KLR3" t="s">
        <v>5290</v>
      </c>
      <c r="KLS3" t="s">
        <v>5398</v>
      </c>
      <c r="KLT3" t="s">
        <v>5366</v>
      </c>
      <c r="KLU3" t="s">
        <v>5399</v>
      </c>
      <c r="KLV3" t="s">
        <v>5400</v>
      </c>
      <c r="KLW3" t="s">
        <v>5368</v>
      </c>
      <c r="KLX3" t="s">
        <v>5369</v>
      </c>
      <c r="KLY3" t="s">
        <v>5401</v>
      </c>
      <c r="KLZ3" t="s">
        <v>5402</v>
      </c>
      <c r="KMA3" t="s">
        <v>5403</v>
      </c>
      <c r="KMB3" t="s">
        <v>255</v>
      </c>
      <c r="KMC3" t="s">
        <v>1990</v>
      </c>
      <c r="KMD3" t="s">
        <v>5404</v>
      </c>
      <c r="KME3" t="s">
        <v>5343</v>
      </c>
      <c r="KMF3" t="s">
        <v>5290</v>
      </c>
      <c r="KMG3" t="s">
        <v>5344</v>
      </c>
      <c r="KMH3" t="s">
        <v>5345</v>
      </c>
      <c r="KMI3" t="s">
        <v>5346</v>
      </c>
      <c r="KMJ3" t="s">
        <v>5347</v>
      </c>
      <c r="KMK3" t="s">
        <v>5405</v>
      </c>
      <c r="KML3" t="s">
        <v>5406</v>
      </c>
      <c r="KMM3" t="s">
        <v>5349</v>
      </c>
      <c r="KMN3" t="s">
        <v>5290</v>
      </c>
      <c r="KMO3" t="s">
        <v>5350</v>
      </c>
      <c r="KMP3" t="s">
        <v>5345</v>
      </c>
      <c r="KMQ3" t="s">
        <v>5351</v>
      </c>
      <c r="KMR3" t="s">
        <v>5352</v>
      </c>
      <c r="KMS3" t="s">
        <v>5405</v>
      </c>
      <c r="KMT3" t="s">
        <v>5407</v>
      </c>
      <c r="KMU3" t="s">
        <v>5408</v>
      </c>
      <c r="KMV3" t="s">
        <v>5290</v>
      </c>
      <c r="KMW3" t="s">
        <v>5409</v>
      </c>
      <c r="KMX3" t="s">
        <v>5410</v>
      </c>
      <c r="KMY3" t="s">
        <v>5399</v>
      </c>
      <c r="KMZ3" t="s">
        <v>5357</v>
      </c>
      <c r="KNA3" t="s">
        <v>5405</v>
      </c>
      <c r="KNB3" t="s">
        <v>5411</v>
      </c>
      <c r="KNC3" t="s">
        <v>5364</v>
      </c>
      <c r="KND3" t="s">
        <v>5290</v>
      </c>
      <c r="KNE3" t="s">
        <v>5398</v>
      </c>
      <c r="KNF3" t="s">
        <v>5366</v>
      </c>
      <c r="KNG3" t="s">
        <v>5399</v>
      </c>
      <c r="KNH3" t="s">
        <v>5400</v>
      </c>
      <c r="KNI3" t="s">
        <v>5368</v>
      </c>
      <c r="KNJ3" t="s">
        <v>5369</v>
      </c>
      <c r="KNK3" t="s">
        <v>5412</v>
      </c>
      <c r="KNL3" t="s">
        <v>5413</v>
      </c>
      <c r="KNM3" t="s">
        <v>5364</v>
      </c>
      <c r="KNN3" t="s">
        <v>5290</v>
      </c>
      <c r="KNO3" t="s">
        <v>5398</v>
      </c>
      <c r="KNP3" t="s">
        <v>5366</v>
      </c>
      <c r="KNQ3" t="s">
        <v>5399</v>
      </c>
      <c r="KNR3" t="s">
        <v>5400</v>
      </c>
      <c r="KNS3" t="s">
        <v>5368</v>
      </c>
      <c r="KNT3" t="s">
        <v>5369</v>
      </c>
      <c r="KNU3" t="s">
        <v>5412</v>
      </c>
      <c r="KNV3" t="s">
        <v>5414</v>
      </c>
      <c r="KNW3" t="s">
        <v>5364</v>
      </c>
      <c r="KNX3" t="s">
        <v>5290</v>
      </c>
      <c r="KNY3" t="s">
        <v>5398</v>
      </c>
      <c r="KNZ3" t="s">
        <v>5366</v>
      </c>
      <c r="KOA3" t="s">
        <v>5367</v>
      </c>
      <c r="KOB3" t="s">
        <v>5368</v>
      </c>
      <c r="KOC3" t="s">
        <v>5369</v>
      </c>
      <c r="KOD3" t="s">
        <v>5412</v>
      </c>
      <c r="KOE3" t="s">
        <v>5415</v>
      </c>
      <c r="KOF3" t="s">
        <v>5290</v>
      </c>
      <c r="KOG3" t="s">
        <v>5416</v>
      </c>
      <c r="KOH3" t="s">
        <v>5362</v>
      </c>
      <c r="KOI3" t="s">
        <v>5417</v>
      </c>
      <c r="KOJ3" t="s">
        <v>5418</v>
      </c>
      <c r="KOK3" t="s">
        <v>5419</v>
      </c>
      <c r="KOL3" t="s">
        <v>5420</v>
      </c>
      <c r="KOM3" t="s">
        <v>5421</v>
      </c>
      <c r="KON3" t="s">
        <v>5422</v>
      </c>
      <c r="KOO3" t="s">
        <v>255</v>
      </c>
      <c r="KOP3" t="s">
        <v>3931</v>
      </c>
      <c r="KOQ3" t="s">
        <v>5423</v>
      </c>
      <c r="KOR3" t="s">
        <v>5290</v>
      </c>
      <c r="KOS3" t="s">
        <v>5398</v>
      </c>
      <c r="KOT3" t="s">
        <v>5366</v>
      </c>
      <c r="KOU3" t="s">
        <v>5399</v>
      </c>
      <c r="KOV3" t="s">
        <v>5400</v>
      </c>
      <c r="KOW3" t="s">
        <v>5368</v>
      </c>
      <c r="KOX3" t="s">
        <v>5369</v>
      </c>
      <c r="KOY3" t="s">
        <v>5401</v>
      </c>
      <c r="KOZ3" t="s">
        <v>5402</v>
      </c>
      <c r="KPA3" t="s">
        <v>5424</v>
      </c>
      <c r="KPB3" t="s">
        <v>5196</v>
      </c>
      <c r="KPC3" t="s">
        <v>255</v>
      </c>
      <c r="KPD3" t="s">
        <v>1990</v>
      </c>
      <c r="KPE3" t="s">
        <v>5425</v>
      </c>
      <c r="KPF3" t="s">
        <v>5290</v>
      </c>
      <c r="KPG3" t="s">
        <v>5426</v>
      </c>
      <c r="KPH3" t="s">
        <v>5362</v>
      </c>
      <c r="KPI3" t="s">
        <v>5401</v>
      </c>
      <c r="KPJ3" t="s">
        <v>5427</v>
      </c>
      <c r="KPK3" t="s">
        <v>5428</v>
      </c>
      <c r="KPL3" t="s">
        <v>5429</v>
      </c>
      <c r="KPM3" t="s">
        <v>5430</v>
      </c>
      <c r="KPN3" t="s">
        <v>5431</v>
      </c>
      <c r="KPO3" t="s">
        <v>1882</v>
      </c>
      <c r="KPP3" t="s">
        <v>5432</v>
      </c>
      <c r="KPQ3" t="s">
        <v>5433</v>
      </c>
      <c r="KPR3" t="s">
        <v>5434</v>
      </c>
      <c r="KPS3" t="s">
        <v>1882</v>
      </c>
      <c r="KPT3" t="s">
        <v>5435</v>
      </c>
      <c r="KPU3" t="s">
        <v>5436</v>
      </c>
      <c r="KPV3" t="s">
        <v>5435</v>
      </c>
      <c r="KPW3" t="s">
        <v>5437</v>
      </c>
      <c r="KPX3" t="s">
        <v>5435</v>
      </c>
      <c r="KPY3" t="s">
        <v>5438</v>
      </c>
      <c r="KPZ3" t="s">
        <v>5439</v>
      </c>
      <c r="KQA3" t="s">
        <v>5290</v>
      </c>
      <c r="KQB3" t="s">
        <v>5440</v>
      </c>
      <c r="KQC3" t="s">
        <v>5441</v>
      </c>
      <c r="KQD3" t="s">
        <v>5442</v>
      </c>
      <c r="KQE3" t="s">
        <v>5443</v>
      </c>
      <c r="KQF3" t="s">
        <v>5444</v>
      </c>
      <c r="KQG3" t="s">
        <v>5445</v>
      </c>
      <c r="KQH3" t="s">
        <v>5196</v>
      </c>
      <c r="KQI3" t="s">
        <v>255</v>
      </c>
      <c r="KQJ3" t="s">
        <v>5446</v>
      </c>
      <c r="KQK3" t="s">
        <v>5447</v>
      </c>
      <c r="KQL3" t="s">
        <v>850</v>
      </c>
      <c r="KQM3" t="s">
        <v>388</v>
      </c>
      <c r="KQN3" t="s">
        <v>5448</v>
      </c>
      <c r="KQO3" t="s">
        <v>5449</v>
      </c>
      <c r="KQP3" t="s">
        <v>5450</v>
      </c>
      <c r="KQQ3" t="s">
        <v>5451</v>
      </c>
      <c r="KQR3" t="s">
        <v>5290</v>
      </c>
      <c r="KQS3" t="s">
        <v>5416</v>
      </c>
      <c r="KQT3" t="s">
        <v>5410</v>
      </c>
      <c r="KQU3" t="s">
        <v>5362</v>
      </c>
      <c r="KQV3" t="s">
        <v>5452</v>
      </c>
      <c r="KQW3" t="s">
        <v>5453</v>
      </c>
      <c r="KQX3" t="s">
        <v>5454</v>
      </c>
      <c r="KQY3" t="s">
        <v>5451</v>
      </c>
      <c r="KQZ3" t="s">
        <v>5290</v>
      </c>
      <c r="KRA3" t="s">
        <v>5416</v>
      </c>
      <c r="KRB3" t="s">
        <v>5410</v>
      </c>
      <c r="KRC3" t="s">
        <v>5362</v>
      </c>
      <c r="KRD3" t="s">
        <v>5452</v>
      </c>
      <c r="KRE3" t="s">
        <v>5438</v>
      </c>
      <c r="KRF3" t="s">
        <v>5455</v>
      </c>
      <c r="KRG3" t="s">
        <v>5343</v>
      </c>
      <c r="KRH3" t="s">
        <v>5290</v>
      </c>
      <c r="KRI3" t="s">
        <v>5344</v>
      </c>
      <c r="KRJ3" t="s">
        <v>5345</v>
      </c>
      <c r="KRK3" t="s">
        <v>5346</v>
      </c>
      <c r="KRL3" t="s">
        <v>5347</v>
      </c>
      <c r="KRM3" t="s">
        <v>5456</v>
      </c>
      <c r="KRN3" t="s">
        <v>5457</v>
      </c>
      <c r="KRO3" t="s">
        <v>5343</v>
      </c>
      <c r="KRP3" t="s">
        <v>5290</v>
      </c>
      <c r="KRQ3" t="s">
        <v>5344</v>
      </c>
      <c r="KRR3" t="s">
        <v>5345</v>
      </c>
      <c r="KRS3" t="s">
        <v>5346</v>
      </c>
      <c r="KRT3" t="s">
        <v>5347</v>
      </c>
      <c r="KRU3" t="s">
        <v>5458</v>
      </c>
      <c r="KRV3" t="s">
        <v>5459</v>
      </c>
      <c r="KRW3" t="s">
        <v>5349</v>
      </c>
      <c r="KRX3" t="s">
        <v>5290</v>
      </c>
      <c r="KRY3" t="s">
        <v>5350</v>
      </c>
      <c r="KRZ3" t="s">
        <v>5345</v>
      </c>
      <c r="KSA3" t="s">
        <v>5351</v>
      </c>
      <c r="KSB3" t="s">
        <v>5352</v>
      </c>
      <c r="KSC3" t="s">
        <v>5456</v>
      </c>
      <c r="KSD3" t="s">
        <v>5460</v>
      </c>
      <c r="KSE3" t="s">
        <v>5349</v>
      </c>
      <c r="KSF3" t="s">
        <v>5290</v>
      </c>
      <c r="KSG3" t="s">
        <v>5350</v>
      </c>
      <c r="KSH3" t="s">
        <v>5345</v>
      </c>
      <c r="KSI3" t="s">
        <v>5351</v>
      </c>
      <c r="KSJ3" t="s">
        <v>5352</v>
      </c>
      <c r="KSK3" t="s">
        <v>5461</v>
      </c>
      <c r="KSL3" t="s">
        <v>5462</v>
      </c>
      <c r="KSM3" t="s">
        <v>44</v>
      </c>
      <c r="KSN3" t="s">
        <v>5463</v>
      </c>
      <c r="KSO3" t="s">
        <v>5464</v>
      </c>
      <c r="KSP3" t="s">
        <v>5465</v>
      </c>
      <c r="KSQ3" t="s">
        <v>3788</v>
      </c>
      <c r="KSR3" t="s">
        <v>3787</v>
      </c>
      <c r="KSS3" t="s">
        <v>3791</v>
      </c>
      <c r="KST3" t="s">
        <v>3790</v>
      </c>
      <c r="KSU3" t="s">
        <v>5466</v>
      </c>
      <c r="KSV3" t="s">
        <v>5467</v>
      </c>
      <c r="KSW3" t="s">
        <v>5468</v>
      </c>
      <c r="KSX3" t="s">
        <v>5469</v>
      </c>
      <c r="KSY3" t="s">
        <v>5470</v>
      </c>
      <c r="KSZ3" t="s">
        <v>5471</v>
      </c>
      <c r="KTA3" t="s">
        <v>5472</v>
      </c>
      <c r="KTB3" t="s">
        <v>5473</v>
      </c>
      <c r="KTC3" t="s">
        <v>5474</v>
      </c>
      <c r="KTD3" t="s">
        <v>5475</v>
      </c>
      <c r="KTE3" t="s">
        <v>5476</v>
      </c>
      <c r="KTF3" t="s">
        <v>5477</v>
      </c>
      <c r="KTG3" t="s">
        <v>5478</v>
      </c>
      <c r="KTH3" t="s">
        <v>5479</v>
      </c>
      <c r="KTI3" t="s">
        <v>44</v>
      </c>
      <c r="KTJ3" t="s">
        <v>243</v>
      </c>
      <c r="KTK3" t="s">
        <v>3711</v>
      </c>
      <c r="KTL3" t="s">
        <v>4183</v>
      </c>
      <c r="KTM3" t="s">
        <v>5480</v>
      </c>
      <c r="KTN3" t="s">
        <v>5481</v>
      </c>
      <c r="KTO3" t="s">
        <v>5482</v>
      </c>
      <c r="KTP3" t="s">
        <v>5483</v>
      </c>
      <c r="KTQ3" t="s">
        <v>3930</v>
      </c>
      <c r="KTR3" t="s">
        <v>511</v>
      </c>
      <c r="KTS3" t="s">
        <v>1503</v>
      </c>
      <c r="KTT3" t="s">
        <v>255</v>
      </c>
      <c r="KTU3" t="s">
        <v>5484</v>
      </c>
      <c r="KTV3" t="s">
        <v>5485</v>
      </c>
      <c r="KTW3" t="s">
        <v>5486</v>
      </c>
      <c r="KTX3" t="s">
        <v>5487</v>
      </c>
      <c r="KTY3" t="s">
        <v>5488</v>
      </c>
      <c r="KTZ3" t="s">
        <v>5489</v>
      </c>
      <c r="KUA3" t="s">
        <v>5490</v>
      </c>
      <c r="KUB3" t="s">
        <v>5488</v>
      </c>
      <c r="KUC3" t="s">
        <v>5491</v>
      </c>
      <c r="KUD3" t="s">
        <v>5492</v>
      </c>
      <c r="KUE3" t="s">
        <v>5493</v>
      </c>
      <c r="KUF3" t="s">
        <v>5494</v>
      </c>
      <c r="KUG3" t="s">
        <v>5495</v>
      </c>
      <c r="KUH3" t="s">
        <v>5496</v>
      </c>
      <c r="KUI3" t="s">
        <v>44</v>
      </c>
      <c r="KUJ3" t="s">
        <v>775</v>
      </c>
      <c r="KUK3" t="s">
        <v>5497</v>
      </c>
      <c r="KUL3" t="s">
        <v>5498</v>
      </c>
      <c r="KUM3" t="s">
        <v>5499</v>
      </c>
      <c r="KUN3" t="s">
        <v>5500</v>
      </c>
      <c r="KUO3" t="s">
        <v>5501</v>
      </c>
      <c r="KUP3" t="s">
        <v>44</v>
      </c>
      <c r="KUQ3" t="s">
        <v>5502</v>
      </c>
      <c r="KUR3" t="s">
        <v>5503</v>
      </c>
      <c r="KUS3" t="s">
        <v>5504</v>
      </c>
      <c r="KUT3" t="s">
        <v>5505</v>
      </c>
      <c r="KUU3" t="s">
        <v>5506</v>
      </c>
      <c r="KUV3" t="s">
        <v>5507</v>
      </c>
      <c r="KUW3" t="s">
        <v>5508</v>
      </c>
      <c r="KUX3" t="s">
        <v>5509</v>
      </c>
      <c r="KUY3" t="s">
        <v>5510</v>
      </c>
      <c r="KUZ3" t="s">
        <v>5511</v>
      </c>
      <c r="KVA3" t="s">
        <v>5512</v>
      </c>
      <c r="KVB3" t="s">
        <v>5513</v>
      </c>
      <c r="KVC3" t="s">
        <v>5514</v>
      </c>
      <c r="KVD3" t="s">
        <v>2615</v>
      </c>
      <c r="KVE3" t="s">
        <v>5515</v>
      </c>
      <c r="KVF3" t="s">
        <v>5516</v>
      </c>
      <c r="KVG3" t="s">
        <v>5517</v>
      </c>
      <c r="KVH3" t="s">
        <v>5518</v>
      </c>
      <c r="KVI3" t="s">
        <v>5519</v>
      </c>
      <c r="KVJ3" t="s">
        <v>5520</v>
      </c>
      <c r="KVK3" t="s">
        <v>5521</v>
      </c>
      <c r="KVL3" t="s">
        <v>5522</v>
      </c>
      <c r="KVM3" t="s">
        <v>5523</v>
      </c>
      <c r="KVN3" t="s">
        <v>5524</v>
      </c>
      <c r="KVO3" t="s">
        <v>5525</v>
      </c>
      <c r="KVP3" t="s">
        <v>5526</v>
      </c>
      <c r="KVQ3" t="s">
        <v>5527</v>
      </c>
      <c r="KVR3" t="s">
        <v>5528</v>
      </c>
      <c r="KVS3" t="s">
        <v>5529</v>
      </c>
      <c r="KVT3" t="s">
        <v>5530</v>
      </c>
      <c r="KVU3" t="s">
        <v>5531</v>
      </c>
      <c r="KVV3" t="s">
        <v>5532</v>
      </c>
      <c r="KVW3" t="s">
        <v>5533</v>
      </c>
      <c r="KVX3" t="s">
        <v>5534</v>
      </c>
      <c r="KVY3" t="s">
        <v>5535</v>
      </c>
      <c r="KVZ3" t="s">
        <v>5536</v>
      </c>
      <c r="KWA3" t="s">
        <v>5537</v>
      </c>
      <c r="KWB3" t="s">
        <v>850</v>
      </c>
      <c r="KWC3" t="s">
        <v>388</v>
      </c>
      <c r="KWD3" t="s">
        <v>5538</v>
      </c>
      <c r="KWE3" t="s">
        <v>5539</v>
      </c>
      <c r="KWF3" t="s">
        <v>5540</v>
      </c>
      <c r="KWG3" t="s">
        <v>5541</v>
      </c>
      <c r="KWH3" t="s">
        <v>5542</v>
      </c>
      <c r="KWI3" t="s">
        <v>5543</v>
      </c>
      <c r="KWJ3" t="s">
        <v>5544</v>
      </c>
      <c r="KWK3" t="s">
        <v>5545</v>
      </c>
      <c r="KWL3" t="s">
        <v>5546</v>
      </c>
      <c r="KWM3" t="s">
        <v>5547</v>
      </c>
      <c r="KWN3" t="s">
        <v>5548</v>
      </c>
      <c r="KWO3" t="s">
        <v>5549</v>
      </c>
      <c r="KWP3" t="s">
        <v>5550</v>
      </c>
      <c r="KWQ3" t="s">
        <v>5551</v>
      </c>
      <c r="KWR3" t="s">
        <v>5552</v>
      </c>
      <c r="KWS3" t="s">
        <v>5553</v>
      </c>
      <c r="KWT3" t="s">
        <v>5554</v>
      </c>
      <c r="KWU3" t="s">
        <v>5555</v>
      </c>
      <c r="KWV3" t="s">
        <v>5556</v>
      </c>
      <c r="KWW3" t="s">
        <v>5557</v>
      </c>
      <c r="KWX3" t="s">
        <v>5558</v>
      </c>
      <c r="KWY3" t="s">
        <v>5559</v>
      </c>
      <c r="KWZ3" t="s">
        <v>5560</v>
      </c>
      <c r="KXA3" t="s">
        <v>5558</v>
      </c>
      <c r="KXB3" t="s">
        <v>5561</v>
      </c>
      <c r="KXC3" t="s">
        <v>5562</v>
      </c>
      <c r="KXD3" t="s">
        <v>5563</v>
      </c>
      <c r="KXE3" t="s">
        <v>5564</v>
      </c>
      <c r="KXF3" t="s">
        <v>5565</v>
      </c>
      <c r="KXG3" t="s">
        <v>5566</v>
      </c>
      <c r="KXH3" t="s">
        <v>5567</v>
      </c>
      <c r="KXI3" t="s">
        <v>5568</v>
      </c>
      <c r="KXJ3" t="s">
        <v>5569</v>
      </c>
      <c r="KXK3" t="s">
        <v>5570</v>
      </c>
      <c r="KXL3" t="s">
        <v>5571</v>
      </c>
      <c r="KXM3" t="s">
        <v>5572</v>
      </c>
      <c r="KXN3" t="s">
        <v>5573</v>
      </c>
      <c r="KXO3" t="s">
        <v>5574</v>
      </c>
      <c r="KXP3" t="s">
        <v>5575</v>
      </c>
      <c r="KXQ3" t="s">
        <v>5576</v>
      </c>
      <c r="KXR3" t="s">
        <v>5577</v>
      </c>
      <c r="KXS3" t="s">
        <v>5578</v>
      </c>
      <c r="KXT3" t="s">
        <v>5579</v>
      </c>
      <c r="KXU3" t="s">
        <v>5580</v>
      </c>
      <c r="KXV3" t="s">
        <v>5581</v>
      </c>
      <c r="KXW3" t="s">
        <v>5582</v>
      </c>
      <c r="KXX3" t="s">
        <v>5583</v>
      </c>
      <c r="KXY3" t="s">
        <v>5584</v>
      </c>
      <c r="KXZ3" t="s">
        <v>5585</v>
      </c>
      <c r="KYA3" t="s">
        <v>5586</v>
      </c>
      <c r="KYB3" t="s">
        <v>5587</v>
      </c>
      <c r="KYC3" t="s">
        <v>5588</v>
      </c>
      <c r="KYD3" t="s">
        <v>5589</v>
      </c>
      <c r="KYE3" t="s">
        <v>5590</v>
      </c>
      <c r="KYF3" t="s">
        <v>5586</v>
      </c>
      <c r="KYG3" t="s">
        <v>5587</v>
      </c>
      <c r="KYH3" t="s">
        <v>5588</v>
      </c>
      <c r="KYI3" t="s">
        <v>5591</v>
      </c>
      <c r="KYJ3" t="s">
        <v>5592</v>
      </c>
      <c r="KYK3" t="s">
        <v>5593</v>
      </c>
      <c r="KYL3" t="s">
        <v>5594</v>
      </c>
      <c r="KYM3" t="s">
        <v>5595</v>
      </c>
      <c r="KYN3" t="s">
        <v>5596</v>
      </c>
      <c r="KYO3" t="s">
        <v>5597</v>
      </c>
      <c r="KYP3" t="s">
        <v>5598</v>
      </c>
      <c r="KYQ3" t="s">
        <v>5599</v>
      </c>
      <c r="KYR3" t="s">
        <v>5600</v>
      </c>
      <c r="KYS3" t="s">
        <v>5601</v>
      </c>
      <c r="KYT3" t="s">
        <v>44</v>
      </c>
      <c r="KYU3" t="s">
        <v>333</v>
      </c>
      <c r="KYV3" t="s">
        <v>80</v>
      </c>
      <c r="KYW3" t="s">
        <v>2538</v>
      </c>
      <c r="KYX3" t="s">
        <v>5167</v>
      </c>
      <c r="KYY3" t="s">
        <v>5602</v>
      </c>
      <c r="KYZ3" t="s">
        <v>5603</v>
      </c>
      <c r="KZA3" t="s">
        <v>5604</v>
      </c>
      <c r="KZB3" t="s">
        <v>5605</v>
      </c>
      <c r="KZC3" t="s">
        <v>5606</v>
      </c>
      <c r="KZD3" t="s">
        <v>5607</v>
      </c>
      <c r="KZE3" t="s">
        <v>5608</v>
      </c>
      <c r="KZF3" t="s">
        <v>5609</v>
      </c>
      <c r="KZG3" t="s">
        <v>5610</v>
      </c>
      <c r="KZH3" t="s">
        <v>1475</v>
      </c>
      <c r="KZI3" t="s">
        <v>5611</v>
      </c>
      <c r="KZJ3" t="s">
        <v>5612</v>
      </c>
      <c r="KZK3" t="s">
        <v>5613</v>
      </c>
      <c r="KZL3" t="s">
        <v>5614</v>
      </c>
      <c r="KZM3" t="s">
        <v>5615</v>
      </c>
      <c r="KZN3" t="s">
        <v>5616</v>
      </c>
      <c r="KZO3" t="s">
        <v>5617</v>
      </c>
      <c r="KZP3" t="s">
        <v>5618</v>
      </c>
      <c r="KZQ3" t="s">
        <v>5619</v>
      </c>
      <c r="KZR3" t="s">
        <v>5617</v>
      </c>
      <c r="KZS3" t="s">
        <v>5620</v>
      </c>
      <c r="KZT3" t="s">
        <v>5621</v>
      </c>
      <c r="KZU3" t="s">
        <v>5617</v>
      </c>
      <c r="KZV3" t="s">
        <v>5622</v>
      </c>
      <c r="KZW3" t="s">
        <v>5623</v>
      </c>
      <c r="KZX3" t="s">
        <v>5617</v>
      </c>
      <c r="KZY3" t="s">
        <v>5624</v>
      </c>
      <c r="KZZ3" t="s">
        <v>5625</v>
      </c>
      <c r="LAA3" t="s">
        <v>5626</v>
      </c>
      <c r="LAB3" t="s">
        <v>5627</v>
      </c>
      <c r="LAC3" t="s">
        <v>5628</v>
      </c>
      <c r="LAD3" t="s">
        <v>5629</v>
      </c>
      <c r="LAE3" t="s">
        <v>5630</v>
      </c>
      <c r="LAF3" t="s">
        <v>5631</v>
      </c>
      <c r="LAG3" t="s">
        <v>5632</v>
      </c>
      <c r="LAH3" t="s">
        <v>5633</v>
      </c>
      <c r="LAI3" t="s">
        <v>5634</v>
      </c>
      <c r="LAJ3" t="s">
        <v>5635</v>
      </c>
      <c r="LAK3" t="s">
        <v>5636</v>
      </c>
      <c r="LAL3" t="s">
        <v>5637</v>
      </c>
      <c r="LAM3" t="s">
        <v>5638</v>
      </c>
      <c r="LAN3" t="s">
        <v>5639</v>
      </c>
      <c r="LAO3" t="s">
        <v>5640</v>
      </c>
      <c r="LAP3" t="s">
        <v>1596</v>
      </c>
      <c r="LAQ3" t="s">
        <v>5641</v>
      </c>
      <c r="LAR3" t="s">
        <v>5642</v>
      </c>
      <c r="LAS3" t="s">
        <v>5643</v>
      </c>
      <c r="LAT3" t="s">
        <v>5644</v>
      </c>
      <c r="LAU3" t="s">
        <v>5645</v>
      </c>
      <c r="LAV3" t="s">
        <v>1475</v>
      </c>
      <c r="LAW3" t="s">
        <v>5646</v>
      </c>
      <c r="LAX3" t="s">
        <v>5647</v>
      </c>
      <c r="LAY3" t="s">
        <v>5429</v>
      </c>
      <c r="LAZ3" t="s">
        <v>1544</v>
      </c>
      <c r="LBA3" t="s">
        <v>5648</v>
      </c>
      <c r="LBB3" t="s">
        <v>5649</v>
      </c>
      <c r="LBC3" t="s">
        <v>1336</v>
      </c>
      <c r="LBD3" t="s">
        <v>5650</v>
      </c>
      <c r="LBE3" t="s">
        <v>5651</v>
      </c>
      <c r="LBF3" t="s">
        <v>5652</v>
      </c>
      <c r="LBG3" t="s">
        <v>5653</v>
      </c>
      <c r="LBH3" t="s">
        <v>5654</v>
      </c>
      <c r="LBI3" t="s">
        <v>5655</v>
      </c>
      <c r="LBJ3" t="s">
        <v>5656</v>
      </c>
      <c r="LBK3" t="s">
        <v>5657</v>
      </c>
      <c r="LBL3" t="s">
        <v>5658</v>
      </c>
      <c r="LBM3" t="s">
        <v>5659</v>
      </c>
      <c r="LBN3" t="s">
        <v>5660</v>
      </c>
      <c r="LBO3" t="s">
        <v>5661</v>
      </c>
      <c r="LBP3" t="s">
        <v>5094</v>
      </c>
      <c r="LBQ3">
        <v>0</v>
      </c>
      <c r="LBR3" t="s">
        <v>5662</v>
      </c>
      <c r="LBS3" t="s">
        <v>5663</v>
      </c>
      <c r="LBT3" t="s">
        <v>5664</v>
      </c>
      <c r="LBU3" t="s">
        <v>5665</v>
      </c>
      <c r="LBV3" t="s">
        <v>5666</v>
      </c>
      <c r="LBW3" t="s">
        <v>5667</v>
      </c>
      <c r="LBX3" t="s">
        <v>5668</v>
      </c>
      <c r="LBY3" t="s">
        <v>5669</v>
      </c>
      <c r="LBZ3" t="s">
        <v>5670</v>
      </c>
      <c r="LCA3" t="s">
        <v>5671</v>
      </c>
      <c r="LCB3" t="s">
        <v>5672</v>
      </c>
      <c r="LCC3" t="s">
        <v>5673</v>
      </c>
      <c r="LCD3" t="s">
        <v>5674</v>
      </c>
      <c r="LCE3" t="s">
        <v>5675</v>
      </c>
      <c r="LCF3" t="s">
        <v>5674</v>
      </c>
      <c r="LCG3" t="s">
        <v>1841</v>
      </c>
      <c r="LCH3" t="s">
        <v>5676</v>
      </c>
      <c r="LCI3" t="s">
        <v>5677</v>
      </c>
      <c r="LCJ3" t="s">
        <v>5678</v>
      </c>
      <c r="LCK3" t="s">
        <v>5679</v>
      </c>
      <c r="LCL3" t="s">
        <v>5680</v>
      </c>
      <c r="LCM3" t="s">
        <v>5681</v>
      </c>
      <c r="LCN3" t="s">
        <v>5682</v>
      </c>
      <c r="LCO3" t="s">
        <v>5683</v>
      </c>
      <c r="LCP3" t="s">
        <v>5684</v>
      </c>
      <c r="LCQ3" t="s">
        <v>5685</v>
      </c>
      <c r="LCR3" t="s">
        <v>5686</v>
      </c>
      <c r="LCS3" t="s">
        <v>5687</v>
      </c>
      <c r="LCT3" t="s">
        <v>5688</v>
      </c>
      <c r="LCU3" t="s">
        <v>5689</v>
      </c>
      <c r="LCV3" t="s">
        <v>5690</v>
      </c>
      <c r="LCW3" t="s">
        <v>5691</v>
      </c>
      <c r="LCX3" t="s">
        <v>5692</v>
      </c>
      <c r="LCY3" t="s">
        <v>5693</v>
      </c>
      <c r="LCZ3" t="s">
        <v>1596</v>
      </c>
      <c r="LDA3" t="s">
        <v>5694</v>
      </c>
      <c r="LDB3" t="s">
        <v>5695</v>
      </c>
      <c r="LDC3" t="s">
        <v>5696</v>
      </c>
      <c r="LDD3" t="s">
        <v>786</v>
      </c>
      <c r="LDE3" t="s">
        <v>1402</v>
      </c>
      <c r="LDF3" t="s">
        <v>5697</v>
      </c>
      <c r="LDG3" t="s">
        <v>5698</v>
      </c>
      <c r="LDH3" t="s">
        <v>5699</v>
      </c>
      <c r="LDI3" t="s">
        <v>5700</v>
      </c>
      <c r="LDJ3" t="s">
        <v>5701</v>
      </c>
      <c r="LDK3" t="s">
        <v>5702</v>
      </c>
      <c r="LDL3" t="s">
        <v>44</v>
      </c>
      <c r="LDM3" t="s">
        <v>2659</v>
      </c>
      <c r="LDN3" t="s">
        <v>5703</v>
      </c>
      <c r="LDO3" t="s">
        <v>5704</v>
      </c>
      <c r="LDP3" t="s">
        <v>5705</v>
      </c>
      <c r="LDQ3" t="s">
        <v>3976</v>
      </c>
      <c r="LDR3" t="s">
        <v>808</v>
      </c>
      <c r="LDS3" t="s">
        <v>825</v>
      </c>
      <c r="LDT3" t="s">
        <v>5706</v>
      </c>
      <c r="LDU3" t="s">
        <v>5707</v>
      </c>
      <c r="LDV3" t="s">
        <v>5708</v>
      </c>
      <c r="LDW3" t="s">
        <v>5709</v>
      </c>
      <c r="LDX3" t="s">
        <v>5710</v>
      </c>
      <c r="LDY3" t="s">
        <v>5711</v>
      </c>
      <c r="LDZ3" t="s">
        <v>5712</v>
      </c>
      <c r="LEA3" t="s">
        <v>5713</v>
      </c>
      <c r="LEB3" t="s">
        <v>5714</v>
      </c>
      <c r="LEC3" t="s">
        <v>825</v>
      </c>
      <c r="LED3" t="s">
        <v>5715</v>
      </c>
      <c r="LEE3" t="s">
        <v>5716</v>
      </c>
      <c r="LEF3" t="s">
        <v>5717</v>
      </c>
      <c r="LEG3" t="s">
        <v>5718</v>
      </c>
      <c r="LEH3" t="s">
        <v>825</v>
      </c>
      <c r="LEI3" t="s">
        <v>5719</v>
      </c>
      <c r="LEJ3" t="s">
        <v>142</v>
      </c>
      <c r="LEK3" t="s">
        <v>3991</v>
      </c>
      <c r="LEL3" t="s">
        <v>825</v>
      </c>
      <c r="LEM3" t="s">
        <v>5720</v>
      </c>
      <c r="LEN3" t="s">
        <v>825</v>
      </c>
      <c r="LEO3" t="s">
        <v>5721</v>
      </c>
      <c r="LEP3" t="s">
        <v>825</v>
      </c>
      <c r="LEQ3" t="s">
        <v>5722</v>
      </c>
      <c r="LER3" t="s">
        <v>4160</v>
      </c>
      <c r="LES3" t="s">
        <v>5723</v>
      </c>
      <c r="LET3" t="s">
        <v>5724</v>
      </c>
      <c r="LEU3" t="s">
        <v>825</v>
      </c>
      <c r="LEV3" t="s">
        <v>154</v>
      </c>
      <c r="LEW3" t="s">
        <v>4161</v>
      </c>
      <c r="LEX3" t="s">
        <v>4162</v>
      </c>
      <c r="LEY3" t="s">
        <v>156</v>
      </c>
      <c r="LEZ3" t="s">
        <v>3883</v>
      </c>
      <c r="LFA3" t="s">
        <v>3994</v>
      </c>
      <c r="LFB3" t="s">
        <v>825</v>
      </c>
      <c r="LFC3" t="s">
        <v>4163</v>
      </c>
      <c r="LFD3" t="s">
        <v>5723</v>
      </c>
      <c r="LFE3" t="s">
        <v>5724</v>
      </c>
      <c r="LFF3" t="s">
        <v>825</v>
      </c>
      <c r="LFG3" t="s">
        <v>162</v>
      </c>
      <c r="LFH3" t="s">
        <v>4161</v>
      </c>
      <c r="LFI3" t="s">
        <v>221</v>
      </c>
      <c r="LFJ3" t="s">
        <v>164</v>
      </c>
      <c r="LFK3" t="s">
        <v>226</v>
      </c>
      <c r="LFL3" t="s">
        <v>5725</v>
      </c>
      <c r="LFM3" t="s">
        <v>825</v>
      </c>
      <c r="LFN3" t="s">
        <v>5726</v>
      </c>
      <c r="LFO3" t="s">
        <v>172</v>
      </c>
      <c r="LFP3" t="s">
        <v>5727</v>
      </c>
      <c r="LFQ3" t="s">
        <v>825</v>
      </c>
      <c r="LFR3" t="s">
        <v>5160</v>
      </c>
      <c r="LFS3" t="s">
        <v>825</v>
      </c>
      <c r="LFT3" t="s">
        <v>3813</v>
      </c>
      <c r="LFU3" t="s">
        <v>4126</v>
      </c>
      <c r="LFV3" t="s">
        <v>825</v>
      </c>
      <c r="LFW3" t="s">
        <v>170</v>
      </c>
      <c r="LFX3" t="s">
        <v>142</v>
      </c>
      <c r="LFY3" t="s">
        <v>2489</v>
      </c>
      <c r="LFZ3" t="s">
        <v>825</v>
      </c>
      <c r="LGA3" t="s">
        <v>5728</v>
      </c>
      <c r="LGB3" t="s">
        <v>5729</v>
      </c>
      <c r="LGC3" t="s">
        <v>5730</v>
      </c>
      <c r="LGD3" t="s">
        <v>5731</v>
      </c>
      <c r="LGE3" t="s">
        <v>4177</v>
      </c>
      <c r="LGF3" t="s">
        <v>5732</v>
      </c>
      <c r="LGG3" t="s">
        <v>5733</v>
      </c>
      <c r="LGH3" t="s">
        <v>5734</v>
      </c>
      <c r="LGI3" t="s">
        <v>44</v>
      </c>
      <c r="LGJ3" t="s">
        <v>243</v>
      </c>
      <c r="LGK3" t="s">
        <v>3711</v>
      </c>
      <c r="LGL3" t="s">
        <v>4183</v>
      </c>
      <c r="LGM3" t="s">
        <v>5735</v>
      </c>
      <c r="LGN3" t="s">
        <v>5736</v>
      </c>
      <c r="LGO3" t="s">
        <v>5737</v>
      </c>
      <c r="LGP3" t="s">
        <v>44</v>
      </c>
      <c r="LGQ3" t="s">
        <v>125</v>
      </c>
      <c r="LGR3" t="s">
        <v>5738</v>
      </c>
      <c r="LGS3" t="s">
        <v>1035</v>
      </c>
      <c r="LGT3" t="s">
        <v>44</v>
      </c>
      <c r="LGU3" t="s">
        <v>5739</v>
      </c>
      <c r="LGV3" t="s">
        <v>125</v>
      </c>
      <c r="LGW3" t="s">
        <v>5740</v>
      </c>
      <c r="LGX3" t="s">
        <v>5741</v>
      </c>
      <c r="LGY3" t="s">
        <v>5742</v>
      </c>
      <c r="LGZ3" t="s">
        <v>44</v>
      </c>
      <c r="LHA3" t="s">
        <v>125</v>
      </c>
      <c r="LHB3" t="s">
        <v>254</v>
      </c>
      <c r="LHC3" t="s">
        <v>5743</v>
      </c>
      <c r="LHD3" t="s">
        <v>5744</v>
      </c>
      <c r="LHE3" t="s">
        <v>5745</v>
      </c>
      <c r="LHF3" t="s">
        <v>5746</v>
      </c>
      <c r="LHG3" t="s">
        <v>1308</v>
      </c>
      <c r="LHH3" t="s">
        <v>511</v>
      </c>
      <c r="LHI3" t="s">
        <v>255</v>
      </c>
      <c r="LHJ3" t="s">
        <v>5747</v>
      </c>
      <c r="LHK3" t="s">
        <v>4924</v>
      </c>
      <c r="LHL3" t="s">
        <v>1308</v>
      </c>
      <c r="LHM3" t="s">
        <v>5748</v>
      </c>
      <c r="LHN3" t="s">
        <v>5749</v>
      </c>
      <c r="LHO3" t="s">
        <v>5750</v>
      </c>
      <c r="LHP3" t="s">
        <v>44</v>
      </c>
      <c r="LHQ3" t="s">
        <v>5751</v>
      </c>
      <c r="LHR3" t="s">
        <v>4467</v>
      </c>
      <c r="LHS3" t="s">
        <v>5752</v>
      </c>
      <c r="LHT3" t="s">
        <v>5753</v>
      </c>
      <c r="LHU3" t="s">
        <v>5754</v>
      </c>
      <c r="LHV3" t="s">
        <v>125</v>
      </c>
      <c r="LHW3" t="s">
        <v>5755</v>
      </c>
      <c r="LHX3" t="s">
        <v>5756</v>
      </c>
      <c r="LHY3" t="s">
        <v>5757</v>
      </c>
      <c r="LHZ3" t="s">
        <v>5758</v>
      </c>
      <c r="LIA3" t="s">
        <v>5759</v>
      </c>
      <c r="LIB3" t="s">
        <v>44</v>
      </c>
      <c r="LIC3" t="s">
        <v>295</v>
      </c>
      <c r="LID3" t="s">
        <v>296</v>
      </c>
      <c r="LIE3" t="s">
        <v>5760</v>
      </c>
      <c r="LIF3" t="s">
        <v>5761</v>
      </c>
      <c r="LIG3" t="s">
        <v>5762</v>
      </c>
      <c r="LIH3" t="s">
        <v>4193</v>
      </c>
      <c r="LII3" t="s">
        <v>5763</v>
      </c>
      <c r="LIJ3" t="s">
        <v>5764</v>
      </c>
      <c r="LIK3" t="s">
        <v>5765</v>
      </c>
      <c r="LIL3" t="s">
        <v>5766</v>
      </c>
      <c r="LIM3" t="s">
        <v>5767</v>
      </c>
      <c r="LIN3" t="s">
        <v>5768</v>
      </c>
      <c r="LIO3" t="s">
        <v>5769</v>
      </c>
      <c r="LIP3" t="s">
        <v>44</v>
      </c>
      <c r="LIQ3" t="s">
        <v>333</v>
      </c>
      <c r="LIR3" t="s">
        <v>2499</v>
      </c>
      <c r="LIS3" t="s">
        <v>335</v>
      </c>
      <c r="LIT3" t="s">
        <v>5770</v>
      </c>
      <c r="LIU3" t="s">
        <v>4829</v>
      </c>
      <c r="LIV3" t="s">
        <v>5169</v>
      </c>
      <c r="LIW3" t="s">
        <v>5771</v>
      </c>
      <c r="LIX3" t="s">
        <v>5772</v>
      </c>
      <c r="LIY3" t="s">
        <v>5773</v>
      </c>
      <c r="LIZ3" t="s">
        <v>5774</v>
      </c>
      <c r="LJA3" t="s">
        <v>5775</v>
      </c>
      <c r="LJB3" t="s">
        <v>5776</v>
      </c>
      <c r="LJC3" t="s">
        <v>5777</v>
      </c>
      <c r="LJD3" t="s">
        <v>5778</v>
      </c>
      <c r="LJE3" t="s">
        <v>5779</v>
      </c>
      <c r="LJF3" t="s">
        <v>44</v>
      </c>
      <c r="LJG3" t="s">
        <v>5780</v>
      </c>
      <c r="LJH3" t="s">
        <v>390</v>
      </c>
      <c r="LJI3" t="s">
        <v>5781</v>
      </c>
      <c r="LJJ3" t="s">
        <v>4330</v>
      </c>
      <c r="LJK3" t="s">
        <v>5782</v>
      </c>
      <c r="LJL3" t="s">
        <v>5783</v>
      </c>
      <c r="LJM3" t="s">
        <v>5784</v>
      </c>
      <c r="LJN3" t="s">
        <v>5785</v>
      </c>
      <c r="LJO3" t="s">
        <v>5594</v>
      </c>
      <c r="LJP3" t="s">
        <v>5786</v>
      </c>
      <c r="LJQ3" t="s">
        <v>5787</v>
      </c>
      <c r="LJR3" t="s">
        <v>5788</v>
      </c>
      <c r="LJS3" t="s">
        <v>44</v>
      </c>
      <c r="LJT3" t="s">
        <v>125</v>
      </c>
      <c r="LJU3" t="s">
        <v>3041</v>
      </c>
      <c r="LJV3" t="s">
        <v>5789</v>
      </c>
      <c r="LJW3" t="s">
        <v>3221</v>
      </c>
      <c r="LJX3" t="s">
        <v>5790</v>
      </c>
      <c r="LJY3" t="s">
        <v>5791</v>
      </c>
      <c r="LJZ3" t="s">
        <v>5792</v>
      </c>
      <c r="LKA3" t="s">
        <v>5793</v>
      </c>
      <c r="LKB3" t="s">
        <v>5794</v>
      </c>
      <c r="LKC3" t="s">
        <v>5795</v>
      </c>
      <c r="LKD3" t="s">
        <v>5796</v>
      </c>
      <c r="LKE3" t="s">
        <v>5797</v>
      </c>
      <c r="LKF3" t="s">
        <v>1427</v>
      </c>
      <c r="LKG3" t="s">
        <v>388</v>
      </c>
      <c r="LKH3" t="s">
        <v>5798</v>
      </c>
      <c r="LKI3" t="s">
        <v>5799</v>
      </c>
      <c r="LKJ3" t="s">
        <v>5800</v>
      </c>
      <c r="LKK3" t="s">
        <v>388</v>
      </c>
      <c r="LKL3" t="s">
        <v>5801</v>
      </c>
      <c r="LKM3" t="s">
        <v>5802</v>
      </c>
      <c r="LKN3" t="s">
        <v>5803</v>
      </c>
      <c r="LKO3" t="s">
        <v>5804</v>
      </c>
      <c r="LKP3" t="s">
        <v>2190</v>
      </c>
      <c r="LKQ3" t="s">
        <v>5805</v>
      </c>
      <c r="LKR3" t="s">
        <v>5806</v>
      </c>
      <c r="LKS3" t="s">
        <v>388</v>
      </c>
      <c r="LKT3" t="s">
        <v>5807</v>
      </c>
      <c r="LKU3" t="s">
        <v>5808</v>
      </c>
      <c r="LKV3" t="s">
        <v>5809</v>
      </c>
      <c r="LKW3" t="s">
        <v>5810</v>
      </c>
      <c r="LKX3" t="s">
        <v>44</v>
      </c>
      <c r="LKY3" t="s">
        <v>5811</v>
      </c>
      <c r="LKZ3" t="s">
        <v>44</v>
      </c>
      <c r="LLA3" t="s">
        <v>1352</v>
      </c>
      <c r="LLB3" t="s">
        <v>5812</v>
      </c>
      <c r="LLC3" t="s">
        <v>896</v>
      </c>
      <c r="LLD3" t="s">
        <v>1882</v>
      </c>
      <c r="LLE3" t="s">
        <v>5813</v>
      </c>
      <c r="LLF3" t="s">
        <v>896</v>
      </c>
      <c r="LLG3" t="s">
        <v>44</v>
      </c>
      <c r="LLH3" t="s">
        <v>2615</v>
      </c>
      <c r="LLI3" t="s">
        <v>5814</v>
      </c>
      <c r="LLJ3" t="s">
        <v>5815</v>
      </c>
      <c r="LLK3" t="s">
        <v>255</v>
      </c>
      <c r="LLL3" t="s">
        <v>5816</v>
      </c>
      <c r="LLM3" t="s">
        <v>5817</v>
      </c>
      <c r="LLN3" t="s">
        <v>5818</v>
      </c>
      <c r="LLO3" t="s">
        <v>5812</v>
      </c>
      <c r="LLP3" t="s">
        <v>896</v>
      </c>
      <c r="LLQ3" t="s">
        <v>4441</v>
      </c>
      <c r="LLR3" t="s">
        <v>5819</v>
      </c>
      <c r="LLS3" t="s">
        <v>5820</v>
      </c>
      <c r="LLT3" t="s">
        <v>5812</v>
      </c>
      <c r="LLU3" t="s">
        <v>896</v>
      </c>
      <c r="LLV3" t="s">
        <v>5821</v>
      </c>
      <c r="LLW3" t="s">
        <v>5594</v>
      </c>
      <c r="LLX3" t="s">
        <v>44</v>
      </c>
      <c r="LLY3" t="s">
        <v>125</v>
      </c>
      <c r="LLZ3" t="s">
        <v>46</v>
      </c>
      <c r="LMA3" t="s">
        <v>5822</v>
      </c>
      <c r="LMB3" t="s">
        <v>5823</v>
      </c>
      <c r="LMC3" t="s">
        <v>5824</v>
      </c>
      <c r="LMD3" t="s">
        <v>5825</v>
      </c>
      <c r="LME3" t="s">
        <v>5826</v>
      </c>
      <c r="LMF3" t="s">
        <v>5827</v>
      </c>
      <c r="LMG3" t="s">
        <v>5828</v>
      </c>
      <c r="LMH3" t="s">
        <v>5829</v>
      </c>
      <c r="LMI3" t="s">
        <v>5830</v>
      </c>
      <c r="LMJ3" t="s">
        <v>5831</v>
      </c>
      <c r="LMK3" t="s">
        <v>5832</v>
      </c>
      <c r="LML3" t="s">
        <v>5833</v>
      </c>
      <c r="LMM3" t="s">
        <v>5834</v>
      </c>
      <c r="LMN3" t="s">
        <v>5835</v>
      </c>
      <c r="LMO3" t="s">
        <v>5836</v>
      </c>
      <c r="LMP3" t="s">
        <v>5837</v>
      </c>
      <c r="LMQ3" t="s">
        <v>5838</v>
      </c>
      <c r="LMR3" t="s">
        <v>5839</v>
      </c>
      <c r="LMS3" t="s">
        <v>5840</v>
      </c>
      <c r="LMT3" t="s">
        <v>5841</v>
      </c>
      <c r="LMU3" t="s">
        <v>5842</v>
      </c>
      <c r="LMV3" t="s">
        <v>5843</v>
      </c>
      <c r="LMW3" t="s">
        <v>5844</v>
      </c>
      <c r="LMX3" t="s">
        <v>5845</v>
      </c>
      <c r="LMY3" t="s">
        <v>5846</v>
      </c>
      <c r="LMZ3" t="s">
        <v>5847</v>
      </c>
      <c r="LNA3" t="s">
        <v>5848</v>
      </c>
      <c r="LNB3" t="s">
        <v>5849</v>
      </c>
      <c r="LNC3" t="s">
        <v>5850</v>
      </c>
      <c r="LND3" t="s">
        <v>5851</v>
      </c>
      <c r="LNE3" t="s">
        <v>5852</v>
      </c>
      <c r="LNF3" t="s">
        <v>5853</v>
      </c>
      <c r="LNG3" t="s">
        <v>5854</v>
      </c>
      <c r="LNH3" t="s">
        <v>5855</v>
      </c>
      <c r="LNI3" t="s">
        <v>5856</v>
      </c>
      <c r="LNJ3" t="s">
        <v>5857</v>
      </c>
      <c r="LNK3" t="s">
        <v>5858</v>
      </c>
      <c r="LNL3" t="s">
        <v>5859</v>
      </c>
      <c r="LNM3" t="s">
        <v>4321</v>
      </c>
      <c r="LNN3" t="s">
        <v>5860</v>
      </c>
      <c r="LNO3" t="s">
        <v>5861</v>
      </c>
      <c r="LNP3" t="s">
        <v>5862</v>
      </c>
      <c r="LNQ3" t="s">
        <v>5863</v>
      </c>
      <c r="LNR3" t="s">
        <v>5864</v>
      </c>
      <c r="LNS3" t="s">
        <v>5865</v>
      </c>
      <c r="LNT3" t="s">
        <v>5866</v>
      </c>
      <c r="LNU3" t="s">
        <v>5867</v>
      </c>
      <c r="LNV3" t="s">
        <v>5868</v>
      </c>
      <c r="LNW3" t="s">
        <v>5869</v>
      </c>
      <c r="LNX3" t="s">
        <v>310</v>
      </c>
      <c r="LNY3" t="s">
        <v>896</v>
      </c>
      <c r="LNZ3" t="s">
        <v>5870</v>
      </c>
      <c r="LOA3" t="s">
        <v>5871</v>
      </c>
      <c r="LOB3" t="s">
        <v>5872</v>
      </c>
      <c r="LOC3" t="s">
        <v>44</v>
      </c>
      <c r="LOD3" t="s">
        <v>5873</v>
      </c>
      <c r="LOE3" t="s">
        <v>5874</v>
      </c>
      <c r="LOF3" t="s">
        <v>5875</v>
      </c>
      <c r="LOG3" t="s">
        <v>5876</v>
      </c>
      <c r="LOH3" t="s">
        <v>2132</v>
      </c>
      <c r="LOI3" t="s">
        <v>5877</v>
      </c>
      <c r="LOJ3" t="s">
        <v>5878</v>
      </c>
      <c r="LOK3" t="s">
        <v>5879</v>
      </c>
      <c r="LOL3" t="s">
        <v>5880</v>
      </c>
      <c r="LOM3" t="s">
        <v>5881</v>
      </c>
      <c r="LON3" t="s">
        <v>5882</v>
      </c>
      <c r="LOO3" t="s">
        <v>5883</v>
      </c>
      <c r="LOP3" t="s">
        <v>5884</v>
      </c>
      <c r="LOQ3" t="s">
        <v>5885</v>
      </c>
      <c r="LOR3" t="s">
        <v>5886</v>
      </c>
      <c r="LOS3" t="s">
        <v>5887</v>
      </c>
      <c r="LOT3" t="s">
        <v>44</v>
      </c>
      <c r="LOU3" t="s">
        <v>775</v>
      </c>
      <c r="LOV3" t="s">
        <v>5888</v>
      </c>
      <c r="LOW3" t="s">
        <v>5889</v>
      </c>
      <c r="LOX3" t="s">
        <v>5890</v>
      </c>
      <c r="LOY3" t="s">
        <v>5891</v>
      </c>
      <c r="LOZ3" t="s">
        <v>5892</v>
      </c>
      <c r="LPA3" t="s">
        <v>5893</v>
      </c>
      <c r="LPB3" t="s">
        <v>44</v>
      </c>
      <c r="LPC3" t="s">
        <v>5894</v>
      </c>
      <c r="LPD3" t="s">
        <v>5895</v>
      </c>
      <c r="LPE3" t="s">
        <v>825</v>
      </c>
      <c r="LPF3" t="s">
        <v>3813</v>
      </c>
      <c r="LPG3" t="s">
        <v>5896</v>
      </c>
      <c r="LPH3" t="s">
        <v>825</v>
      </c>
      <c r="LPI3" t="s">
        <v>5897</v>
      </c>
      <c r="LPJ3" t="s">
        <v>2489</v>
      </c>
      <c r="LPK3" t="s">
        <v>142</v>
      </c>
      <c r="LPL3" t="s">
        <v>825</v>
      </c>
      <c r="LPM3" t="s">
        <v>5898</v>
      </c>
      <c r="LPN3" t="s">
        <v>808</v>
      </c>
      <c r="LPO3" t="s">
        <v>809</v>
      </c>
      <c r="LPP3" t="s">
        <v>5899</v>
      </c>
      <c r="LPQ3" t="s">
        <v>5900</v>
      </c>
      <c r="LPR3" t="s">
        <v>5901</v>
      </c>
      <c r="LPS3" t="s">
        <v>5902</v>
      </c>
      <c r="LPT3" t="s">
        <v>809</v>
      </c>
      <c r="LPU3" t="s">
        <v>5903</v>
      </c>
      <c r="LPV3" t="s">
        <v>5904</v>
      </c>
      <c r="LPW3" t="s">
        <v>809</v>
      </c>
      <c r="LPX3" t="s">
        <v>5905</v>
      </c>
      <c r="LPY3" t="s">
        <v>809</v>
      </c>
      <c r="LPZ3" t="s">
        <v>5906</v>
      </c>
      <c r="LQA3" t="s">
        <v>141</v>
      </c>
      <c r="LQB3" t="s">
        <v>5907</v>
      </c>
      <c r="LQC3" t="s">
        <v>142</v>
      </c>
      <c r="LQD3" t="s">
        <v>1442</v>
      </c>
      <c r="LQE3" t="s">
        <v>825</v>
      </c>
      <c r="LQF3" t="s">
        <v>4124</v>
      </c>
      <c r="LQG3" t="s">
        <v>808</v>
      </c>
      <c r="LQH3" t="s">
        <v>828</v>
      </c>
      <c r="LQI3" t="s">
        <v>1025</v>
      </c>
      <c r="LQJ3" t="s">
        <v>5908</v>
      </c>
      <c r="LQK3" t="s">
        <v>44</v>
      </c>
      <c r="LQL3" t="s">
        <v>5909</v>
      </c>
      <c r="LQM3" t="s">
        <v>5910</v>
      </c>
      <c r="LQN3" t="s">
        <v>5911</v>
      </c>
      <c r="LQO3" t="s">
        <v>1427</v>
      </c>
      <c r="LQP3" t="s">
        <v>388</v>
      </c>
      <c r="LQQ3" t="s">
        <v>5912</v>
      </c>
      <c r="LQR3" t="s">
        <v>5913</v>
      </c>
      <c r="LQS3" t="s">
        <v>5914</v>
      </c>
      <c r="LQT3" t="s">
        <v>5915</v>
      </c>
      <c r="LQU3" t="s">
        <v>5916</v>
      </c>
      <c r="LQV3" t="s">
        <v>5917</v>
      </c>
      <c r="LQW3" t="s">
        <v>5918</v>
      </c>
      <c r="LQX3" t="s">
        <v>5919</v>
      </c>
      <c r="LQY3" t="s">
        <v>5920</v>
      </c>
      <c r="LQZ3" t="s">
        <v>5921</v>
      </c>
      <c r="LRA3" t="s">
        <v>5922</v>
      </c>
      <c r="LRB3" t="s">
        <v>5923</v>
      </c>
      <c r="LRC3" t="s">
        <v>5924</v>
      </c>
      <c r="LRD3" t="s">
        <v>5925</v>
      </c>
      <c r="LRE3" t="s">
        <v>5926</v>
      </c>
      <c r="LRF3" t="s">
        <v>5927</v>
      </c>
      <c r="LRG3" t="s">
        <v>5928</v>
      </c>
      <c r="LRH3" t="s">
        <v>5929</v>
      </c>
      <c r="LRI3" t="s">
        <v>5930</v>
      </c>
      <c r="LRJ3" t="s">
        <v>5931</v>
      </c>
      <c r="LRK3">
        <v>0</v>
      </c>
      <c r="LRL3">
        <v>0</v>
      </c>
      <c r="LRM3" t="s">
        <v>5932</v>
      </c>
      <c r="LRN3" t="s">
        <v>5933</v>
      </c>
      <c r="LRO3">
        <v>0</v>
      </c>
      <c r="LRP3">
        <v>0</v>
      </c>
      <c r="LRQ3" t="s">
        <v>5934</v>
      </c>
      <c r="LRR3" t="s">
        <v>5935</v>
      </c>
      <c r="LRS3" t="s">
        <v>5936</v>
      </c>
      <c r="LRT3" t="s">
        <v>5937</v>
      </c>
      <c r="LRU3" t="s">
        <v>5938</v>
      </c>
      <c r="LRV3" t="s">
        <v>5939</v>
      </c>
      <c r="LRW3" t="s">
        <v>5940</v>
      </c>
      <c r="LRX3" t="s">
        <v>5941</v>
      </c>
      <c r="LRY3" t="s">
        <v>5942</v>
      </c>
      <c r="LRZ3" t="s">
        <v>5943</v>
      </c>
      <c r="LSA3" t="s">
        <v>5944</v>
      </c>
      <c r="LSB3" t="s">
        <v>44</v>
      </c>
      <c r="LSC3" t="s">
        <v>243</v>
      </c>
      <c r="LSD3" t="s">
        <v>244</v>
      </c>
      <c r="LSE3" t="s">
        <v>5166</v>
      </c>
      <c r="LSF3" t="s">
        <v>5945</v>
      </c>
      <c r="LSG3" t="s">
        <v>5946</v>
      </c>
      <c r="LSH3" t="s">
        <v>44</v>
      </c>
      <c r="LSI3" t="s">
        <v>5947</v>
      </c>
      <c r="LSJ3" t="s">
        <v>5948</v>
      </c>
      <c r="LSK3" t="s">
        <v>896</v>
      </c>
      <c r="LSL3" t="s">
        <v>5949</v>
      </c>
      <c r="LSM3" t="s">
        <v>5950</v>
      </c>
      <c r="LSN3" t="s">
        <v>5951</v>
      </c>
      <c r="LSO3" t="s">
        <v>5952</v>
      </c>
      <c r="LSP3" t="s">
        <v>5953</v>
      </c>
      <c r="LSQ3" t="s">
        <v>5954</v>
      </c>
      <c r="LSR3" t="s">
        <v>5955</v>
      </c>
      <c r="LSS3" t="s">
        <v>5956</v>
      </c>
      <c r="LST3" t="s">
        <v>5957</v>
      </c>
      <c r="LSU3" t="s">
        <v>5958</v>
      </c>
      <c r="LSV3" t="s">
        <v>5959</v>
      </c>
      <c r="LSW3" t="s">
        <v>5960</v>
      </c>
      <c r="LSX3" t="s">
        <v>5961</v>
      </c>
      <c r="LSY3" t="s">
        <v>5962</v>
      </c>
      <c r="LSZ3" t="s">
        <v>5963</v>
      </c>
      <c r="LTA3" t="s">
        <v>5964</v>
      </c>
      <c r="LTB3" t="s">
        <v>1691</v>
      </c>
      <c r="LTC3" t="s">
        <v>5965</v>
      </c>
      <c r="LTD3" t="s">
        <v>5966</v>
      </c>
      <c r="LTE3" t="s">
        <v>5967</v>
      </c>
      <c r="LTF3" t="s">
        <v>5968</v>
      </c>
      <c r="LTG3" t="s">
        <v>5969</v>
      </c>
      <c r="LTH3" t="s">
        <v>5746</v>
      </c>
      <c r="LTI3" t="s">
        <v>1308</v>
      </c>
      <c r="LTJ3" t="s">
        <v>1503</v>
      </c>
      <c r="LTK3" t="s">
        <v>255</v>
      </c>
      <c r="LTL3" t="s">
        <v>5970</v>
      </c>
      <c r="LTM3" t="s">
        <v>5971</v>
      </c>
      <c r="LTN3" t="s">
        <v>896</v>
      </c>
      <c r="LTO3" t="s">
        <v>511</v>
      </c>
      <c r="LTP3" t="s">
        <v>255</v>
      </c>
      <c r="LTQ3" t="s">
        <v>993</v>
      </c>
      <c r="LTR3" t="s">
        <v>5972</v>
      </c>
      <c r="LTS3" t="s">
        <v>44</v>
      </c>
      <c r="LTT3" t="s">
        <v>333</v>
      </c>
      <c r="LTU3" t="s">
        <v>2499</v>
      </c>
      <c r="LTV3" t="s">
        <v>335</v>
      </c>
      <c r="LTW3" t="s">
        <v>936</v>
      </c>
      <c r="LTX3" t="s">
        <v>5973</v>
      </c>
      <c r="LTY3" t="s">
        <v>5974</v>
      </c>
      <c r="LTZ3" t="s">
        <v>1450</v>
      </c>
      <c r="LUA3" t="s">
        <v>5975</v>
      </c>
      <c r="LUB3" t="s">
        <v>5976</v>
      </c>
      <c r="LUC3" t="s">
        <v>5977</v>
      </c>
      <c r="LUD3" t="s">
        <v>5978</v>
      </c>
      <c r="LUE3" t="s">
        <v>5979</v>
      </c>
      <c r="LUF3" t="s">
        <v>5980</v>
      </c>
      <c r="LUG3" t="s">
        <v>44</v>
      </c>
      <c r="LUH3" t="s">
        <v>125</v>
      </c>
      <c r="LUI3" t="s">
        <v>5981</v>
      </c>
      <c r="LUJ3" t="s">
        <v>390</v>
      </c>
      <c r="LUK3" t="s">
        <v>5982</v>
      </c>
      <c r="LUL3" t="s">
        <v>5983</v>
      </c>
      <c r="LUM3" t="s">
        <v>5840</v>
      </c>
      <c r="LUN3" t="s">
        <v>5984</v>
      </c>
      <c r="LUO3" t="s">
        <v>5985</v>
      </c>
      <c r="LUP3" t="s">
        <v>5986</v>
      </c>
      <c r="LUQ3" t="s">
        <v>5987</v>
      </c>
      <c r="LUR3" t="s">
        <v>5988</v>
      </c>
      <c r="LUS3" t="s">
        <v>5989</v>
      </c>
      <c r="LUT3" t="s">
        <v>5990</v>
      </c>
      <c r="LUU3" t="s">
        <v>3389</v>
      </c>
      <c r="LUV3" t="s">
        <v>5991</v>
      </c>
      <c r="LUW3" t="s">
        <v>5992</v>
      </c>
      <c r="LUX3" t="s">
        <v>5993</v>
      </c>
      <c r="LUY3" t="s">
        <v>44</v>
      </c>
      <c r="LUZ3" t="s">
        <v>125</v>
      </c>
      <c r="LVA3" t="s">
        <v>5994</v>
      </c>
      <c r="LVB3" t="s">
        <v>4326</v>
      </c>
      <c r="LVC3" t="s">
        <v>5995</v>
      </c>
      <c r="LVD3" t="s">
        <v>5996</v>
      </c>
      <c r="LVE3" t="s">
        <v>5997</v>
      </c>
      <c r="LVF3" t="s">
        <v>5998</v>
      </c>
      <c r="LVG3" t="s">
        <v>44</v>
      </c>
      <c r="LVH3" t="s">
        <v>125</v>
      </c>
      <c r="LVI3" t="s">
        <v>5999</v>
      </c>
      <c r="LVJ3" t="s">
        <v>6000</v>
      </c>
      <c r="LVK3" t="s">
        <v>6001</v>
      </c>
      <c r="LVL3" t="s">
        <v>6002</v>
      </c>
      <c r="LVM3" t="s">
        <v>6003</v>
      </c>
      <c r="LVN3" t="s">
        <v>6004</v>
      </c>
      <c r="LVO3" t="s">
        <v>1882</v>
      </c>
      <c r="LVP3" t="s">
        <v>6005</v>
      </c>
      <c r="LVQ3" t="s">
        <v>4903</v>
      </c>
      <c r="LVR3" t="s">
        <v>4984</v>
      </c>
      <c r="LVS3" t="s">
        <v>6006</v>
      </c>
      <c r="LVT3" t="s">
        <v>6007</v>
      </c>
      <c r="LVU3" t="s">
        <v>6008</v>
      </c>
      <c r="LVV3" t="s">
        <v>255</v>
      </c>
      <c r="LVW3" t="s">
        <v>287</v>
      </c>
      <c r="LVX3" t="s">
        <v>6009</v>
      </c>
      <c r="LVY3" t="s">
        <v>6010</v>
      </c>
      <c r="LVZ3" t="s">
        <v>6011</v>
      </c>
      <c r="LWA3" t="s">
        <v>6012</v>
      </c>
      <c r="LWB3" t="s">
        <v>6013</v>
      </c>
      <c r="LWC3" t="s">
        <v>6014</v>
      </c>
      <c r="LWD3" t="s">
        <v>6015</v>
      </c>
      <c r="LWE3" t="s">
        <v>6016</v>
      </c>
      <c r="LWF3" t="s">
        <v>6017</v>
      </c>
      <c r="LWG3" t="s">
        <v>6018</v>
      </c>
      <c r="LWH3" t="s">
        <v>6019</v>
      </c>
      <c r="LWI3" t="s">
        <v>257</v>
      </c>
      <c r="LWJ3" t="s">
        <v>258</v>
      </c>
      <c r="LWK3" t="s">
        <v>6020</v>
      </c>
      <c r="LWL3" t="s">
        <v>6021</v>
      </c>
      <c r="LWM3" t="s">
        <v>6022</v>
      </c>
      <c r="LWN3" t="s">
        <v>6013</v>
      </c>
      <c r="LWO3" t="s">
        <v>6014</v>
      </c>
      <c r="LWP3" t="s">
        <v>6023</v>
      </c>
      <c r="LWQ3" t="s">
        <v>6024</v>
      </c>
      <c r="LWR3" t="s">
        <v>6025</v>
      </c>
      <c r="LWS3" t="s">
        <v>6026</v>
      </c>
      <c r="LWT3" t="s">
        <v>6027</v>
      </c>
      <c r="LWU3" t="s">
        <v>6028</v>
      </c>
      <c r="LWV3" t="s">
        <v>6029</v>
      </c>
      <c r="LWW3" t="s">
        <v>6030</v>
      </c>
      <c r="LWX3" t="s">
        <v>6031</v>
      </c>
      <c r="LWY3" t="s">
        <v>6032</v>
      </c>
      <c r="LWZ3" t="s">
        <v>6033</v>
      </c>
      <c r="LXA3" t="s">
        <v>6034</v>
      </c>
      <c r="LXB3" t="s">
        <v>6035</v>
      </c>
      <c r="LXC3" t="s">
        <v>6036</v>
      </c>
      <c r="LXD3" t="s">
        <v>1692</v>
      </c>
      <c r="LXE3" t="s">
        <v>5594</v>
      </c>
      <c r="LXF3" t="s">
        <v>6037</v>
      </c>
      <c r="LXG3" t="s">
        <v>6038</v>
      </c>
      <c r="LXH3" t="s">
        <v>6039</v>
      </c>
      <c r="LXI3" t="s">
        <v>6040</v>
      </c>
      <c r="LXJ3" t="s">
        <v>44</v>
      </c>
      <c r="LXK3" t="s">
        <v>125</v>
      </c>
      <c r="LXL3" t="s">
        <v>126</v>
      </c>
      <c r="LXM3" t="s">
        <v>6041</v>
      </c>
      <c r="LXN3" t="s">
        <v>390</v>
      </c>
      <c r="LXO3" t="s">
        <v>6042</v>
      </c>
      <c r="LXP3" t="s">
        <v>5983</v>
      </c>
      <c r="LXQ3" t="s">
        <v>5840</v>
      </c>
      <c r="LXR3" t="s">
        <v>6043</v>
      </c>
      <c r="LXS3" t="s">
        <v>6044</v>
      </c>
      <c r="LXT3" t="s">
        <v>6045</v>
      </c>
      <c r="LXU3" t="s">
        <v>6046</v>
      </c>
      <c r="LXV3" t="s">
        <v>390</v>
      </c>
      <c r="LXW3" t="s">
        <v>6047</v>
      </c>
      <c r="LXX3" t="s">
        <v>6048</v>
      </c>
      <c r="LXY3" t="s">
        <v>6043</v>
      </c>
      <c r="LXZ3" t="s">
        <v>6044</v>
      </c>
      <c r="LYA3" t="s">
        <v>6045</v>
      </c>
      <c r="LYB3" t="s">
        <v>6049</v>
      </c>
      <c r="LYC3" t="s">
        <v>390</v>
      </c>
      <c r="LYD3" t="s">
        <v>6050</v>
      </c>
      <c r="LYE3" t="s">
        <v>6048</v>
      </c>
      <c r="LYF3" t="s">
        <v>6051</v>
      </c>
      <c r="LYG3" t="s">
        <v>6052</v>
      </c>
      <c r="LYH3" t="s">
        <v>6053</v>
      </c>
      <c r="LYI3" t="s">
        <v>6046</v>
      </c>
      <c r="LYJ3" t="s">
        <v>390</v>
      </c>
      <c r="LYK3" t="s">
        <v>6054</v>
      </c>
      <c r="LYL3" t="s">
        <v>6048</v>
      </c>
      <c r="LYM3" t="s">
        <v>6051</v>
      </c>
      <c r="LYN3" t="s">
        <v>6055</v>
      </c>
      <c r="LYO3" t="s">
        <v>6056</v>
      </c>
      <c r="LYP3" t="s">
        <v>6057</v>
      </c>
      <c r="LYQ3" t="s">
        <v>44</v>
      </c>
      <c r="LYR3" t="s">
        <v>125</v>
      </c>
      <c r="LYS3" t="s">
        <v>6058</v>
      </c>
      <c r="LYT3" t="s">
        <v>390</v>
      </c>
      <c r="LYU3" t="s">
        <v>6059</v>
      </c>
      <c r="LYV3" t="s">
        <v>6048</v>
      </c>
      <c r="LYW3" t="s">
        <v>6060</v>
      </c>
      <c r="LYX3" t="s">
        <v>6061</v>
      </c>
      <c r="LYY3" t="s">
        <v>6062</v>
      </c>
      <c r="LYZ3" t="s">
        <v>44</v>
      </c>
      <c r="LZA3" t="s">
        <v>125</v>
      </c>
      <c r="LZB3" t="s">
        <v>5981</v>
      </c>
      <c r="LZC3" t="s">
        <v>393</v>
      </c>
      <c r="LZD3" t="s">
        <v>6063</v>
      </c>
      <c r="LZE3" t="s">
        <v>6064</v>
      </c>
      <c r="LZF3" t="s">
        <v>393</v>
      </c>
      <c r="LZG3" t="s">
        <v>6065</v>
      </c>
      <c r="LZH3" t="s">
        <v>6066</v>
      </c>
      <c r="LZI3" t="s">
        <v>6067</v>
      </c>
      <c r="LZJ3" t="s">
        <v>6068</v>
      </c>
      <c r="LZK3" t="s">
        <v>6069</v>
      </c>
      <c r="LZL3" t="s">
        <v>6070</v>
      </c>
      <c r="LZM3" t="s">
        <v>6071</v>
      </c>
      <c r="LZN3" t="s">
        <v>6072</v>
      </c>
      <c r="LZO3" t="s">
        <v>6073</v>
      </c>
      <c r="LZP3" t="s">
        <v>6074</v>
      </c>
      <c r="LZQ3" t="s">
        <v>390</v>
      </c>
      <c r="LZR3" t="s">
        <v>6075</v>
      </c>
      <c r="LZS3" t="s">
        <v>6076</v>
      </c>
      <c r="LZT3" t="s">
        <v>6077</v>
      </c>
      <c r="LZU3" t="s">
        <v>390</v>
      </c>
      <c r="LZV3" t="s">
        <v>6078</v>
      </c>
      <c r="LZW3" t="s">
        <v>6079</v>
      </c>
      <c r="LZX3" t="s">
        <v>6080</v>
      </c>
      <c r="LZY3" t="s">
        <v>5840</v>
      </c>
      <c r="LZZ3" t="s">
        <v>6081</v>
      </c>
      <c r="MAA3" t="s">
        <v>6082</v>
      </c>
      <c r="MAB3" t="s">
        <v>390</v>
      </c>
      <c r="MAC3" t="s">
        <v>6083</v>
      </c>
      <c r="MAD3" t="s">
        <v>6084</v>
      </c>
      <c r="MAE3" t="s">
        <v>6085</v>
      </c>
      <c r="MAF3" t="s">
        <v>6077</v>
      </c>
      <c r="MAG3" t="s">
        <v>390</v>
      </c>
      <c r="MAH3" t="s">
        <v>6086</v>
      </c>
      <c r="MAI3" t="s">
        <v>6084</v>
      </c>
      <c r="MAJ3" t="s">
        <v>6087</v>
      </c>
      <c r="MAK3" t="s">
        <v>6088</v>
      </c>
      <c r="MAL3" t="s">
        <v>6089</v>
      </c>
      <c r="MAM3" t="s">
        <v>6090</v>
      </c>
      <c r="MAN3" t="s">
        <v>6091</v>
      </c>
      <c r="MAO3" t="s">
        <v>6092</v>
      </c>
      <c r="MAP3" t="s">
        <v>4644</v>
      </c>
      <c r="MAQ3" t="s">
        <v>6093</v>
      </c>
      <c r="MAR3" t="s">
        <v>6094</v>
      </c>
      <c r="MAS3" t="s">
        <v>6095</v>
      </c>
      <c r="MAT3" t="s">
        <v>6096</v>
      </c>
      <c r="MAU3" t="s">
        <v>6097</v>
      </c>
      <c r="MAV3" t="s">
        <v>6098</v>
      </c>
      <c r="MAW3" t="s">
        <v>6099</v>
      </c>
      <c r="MAX3" t="s">
        <v>6100</v>
      </c>
      <c r="MAY3" t="s">
        <v>6101</v>
      </c>
      <c r="MAZ3" t="s">
        <v>6102</v>
      </c>
      <c r="MBA3" t="s">
        <v>6103</v>
      </c>
      <c r="MBB3" t="s">
        <v>6101</v>
      </c>
      <c r="MBC3" t="s">
        <v>6104</v>
      </c>
      <c r="MBD3" t="s">
        <v>6105</v>
      </c>
      <c r="MBE3" t="s">
        <v>6106</v>
      </c>
      <c r="MBF3" t="s">
        <v>6107</v>
      </c>
      <c r="MBG3" t="s">
        <v>6108</v>
      </c>
      <c r="MBH3" t="s">
        <v>6109</v>
      </c>
      <c r="MBI3" t="s">
        <v>6110</v>
      </c>
      <c r="MBJ3" t="s">
        <v>6111</v>
      </c>
      <c r="MBK3" t="s">
        <v>6112</v>
      </c>
      <c r="MBL3" t="s">
        <v>6113</v>
      </c>
      <c r="MBM3" t="s">
        <v>6114</v>
      </c>
      <c r="MBN3" t="s">
        <v>6115</v>
      </c>
      <c r="MBO3" t="s">
        <v>6116</v>
      </c>
      <c r="MBP3" t="s">
        <v>6117</v>
      </c>
      <c r="MBQ3" t="s">
        <v>6118</v>
      </c>
      <c r="MBR3" t="s">
        <v>1822</v>
      </c>
      <c r="MBS3" t="s">
        <v>6119</v>
      </c>
      <c r="MBT3" t="s">
        <v>6120</v>
      </c>
      <c r="MBU3" t="s">
        <v>6121</v>
      </c>
      <c r="MBV3" t="s">
        <v>6122</v>
      </c>
      <c r="MBW3" t="s">
        <v>6123</v>
      </c>
      <c r="MBX3" t="s">
        <v>6124</v>
      </c>
      <c r="MBY3" t="s">
        <v>6125</v>
      </c>
      <c r="MBZ3" t="s">
        <v>6126</v>
      </c>
      <c r="MCA3" t="s">
        <v>255</v>
      </c>
      <c r="MCB3" t="s">
        <v>125</v>
      </c>
      <c r="MCC3" t="s">
        <v>6127</v>
      </c>
      <c r="MCD3" t="s">
        <v>255</v>
      </c>
      <c r="MCE3" t="s">
        <v>125</v>
      </c>
      <c r="MCF3" t="s">
        <v>6128</v>
      </c>
      <c r="MCG3" t="s">
        <v>255</v>
      </c>
      <c r="MCH3" t="s">
        <v>125</v>
      </c>
      <c r="MCI3" t="s">
        <v>6129</v>
      </c>
      <c r="MCJ3" t="s">
        <v>255</v>
      </c>
      <c r="MCK3" t="s">
        <v>125</v>
      </c>
      <c r="MCL3" t="s">
        <v>48</v>
      </c>
      <c r="MCM3" t="s">
        <v>6130</v>
      </c>
      <c r="MCN3" t="s">
        <v>255</v>
      </c>
      <c r="MCO3" t="s">
        <v>125</v>
      </c>
      <c r="MCP3" t="s">
        <v>6131</v>
      </c>
      <c r="MCQ3" t="s">
        <v>255</v>
      </c>
      <c r="MCR3" t="s">
        <v>125</v>
      </c>
      <c r="MCS3" t="s">
        <v>515</v>
      </c>
      <c r="MCT3" t="s">
        <v>5594</v>
      </c>
      <c r="MCU3" t="s">
        <v>44</v>
      </c>
      <c r="MCV3" t="s">
        <v>125</v>
      </c>
      <c r="MCW3" t="s">
        <v>6132</v>
      </c>
      <c r="MCX3" t="s">
        <v>6133</v>
      </c>
      <c r="MCY3" t="s">
        <v>6134</v>
      </c>
      <c r="MCZ3" t="s">
        <v>3389</v>
      </c>
      <c r="MDA3" t="s">
        <v>6135</v>
      </c>
      <c r="MDB3" t="s">
        <v>6136</v>
      </c>
      <c r="MDC3" t="s">
        <v>6137</v>
      </c>
      <c r="MDD3" t="s">
        <v>6138</v>
      </c>
      <c r="MDE3" t="s">
        <v>6139</v>
      </c>
      <c r="MDF3" t="s">
        <v>6140</v>
      </c>
      <c r="MDG3" t="s">
        <v>6141</v>
      </c>
      <c r="MDH3" t="s">
        <v>6142</v>
      </c>
      <c r="MDI3" t="s">
        <v>1308</v>
      </c>
      <c r="MDJ3" t="s">
        <v>266</v>
      </c>
      <c r="MDK3" t="s">
        <v>6143</v>
      </c>
      <c r="MDL3" t="s">
        <v>6144</v>
      </c>
      <c r="MDM3" t="s">
        <v>6145</v>
      </c>
      <c r="MDN3" t="s">
        <v>6146</v>
      </c>
      <c r="MDO3" t="s">
        <v>6147</v>
      </c>
      <c r="MDP3" t="s">
        <v>6148</v>
      </c>
      <c r="MDQ3" t="s">
        <v>6149</v>
      </c>
      <c r="MDR3" t="s">
        <v>6150</v>
      </c>
      <c r="MDS3" t="s">
        <v>6151</v>
      </c>
      <c r="MDT3" t="s">
        <v>6152</v>
      </c>
      <c r="MDU3" t="s">
        <v>6153</v>
      </c>
      <c r="MDV3" t="s">
        <v>6154</v>
      </c>
      <c r="MDW3" t="s">
        <v>6155</v>
      </c>
      <c r="MDX3" t="s">
        <v>5594</v>
      </c>
      <c r="MDY3" t="s">
        <v>44</v>
      </c>
      <c r="MDZ3" t="s">
        <v>125</v>
      </c>
      <c r="MEA3" t="s">
        <v>6156</v>
      </c>
      <c r="MEB3" t="s">
        <v>6157</v>
      </c>
      <c r="MEC3" t="s">
        <v>6158</v>
      </c>
      <c r="MED3" t="s">
        <v>6159</v>
      </c>
      <c r="MEE3" t="s">
        <v>44</v>
      </c>
      <c r="MEF3" t="s">
        <v>6160</v>
      </c>
      <c r="MEG3" t="s">
        <v>6161</v>
      </c>
      <c r="MEH3" t="s">
        <v>6162</v>
      </c>
      <c r="MEI3" t="s">
        <v>44</v>
      </c>
      <c r="MEJ3" t="s">
        <v>125</v>
      </c>
      <c r="MEK3" t="s">
        <v>6163</v>
      </c>
      <c r="MEL3" t="s">
        <v>6155</v>
      </c>
      <c r="MEM3" t="s">
        <v>6164</v>
      </c>
      <c r="MEN3" t="s">
        <v>292</v>
      </c>
      <c r="MEO3" t="s">
        <v>6165</v>
      </c>
      <c r="MEP3" t="s">
        <v>6155</v>
      </c>
      <c r="MEQ3" t="s">
        <v>6166</v>
      </c>
      <c r="MER3" t="s">
        <v>292</v>
      </c>
      <c r="MES3" t="s">
        <v>6167</v>
      </c>
      <c r="MET3" t="s">
        <v>6155</v>
      </c>
      <c r="MEU3" t="s">
        <v>6168</v>
      </c>
      <c r="MEV3" t="s">
        <v>292</v>
      </c>
      <c r="MEW3" t="s">
        <v>6169</v>
      </c>
      <c r="MEX3" t="s">
        <v>6155</v>
      </c>
      <c r="MEY3" t="s">
        <v>6170</v>
      </c>
      <c r="MEZ3" t="s">
        <v>6171</v>
      </c>
      <c r="MFA3" t="s">
        <v>255</v>
      </c>
      <c r="MFB3" t="s">
        <v>125</v>
      </c>
      <c r="MFC3" t="s">
        <v>515</v>
      </c>
      <c r="MFD3" t="s">
        <v>5594</v>
      </c>
      <c r="MFE3" t="s">
        <v>44</v>
      </c>
      <c r="MFF3" t="s">
        <v>125</v>
      </c>
      <c r="MFG3" t="s">
        <v>126</v>
      </c>
      <c r="MFH3" t="s">
        <v>46</v>
      </c>
      <c r="MFI3" t="s">
        <v>6172</v>
      </c>
      <c r="MFJ3">
        <v>0</v>
      </c>
      <c r="MFK3" t="s">
        <v>6173</v>
      </c>
      <c r="MFL3">
        <v>0</v>
      </c>
      <c r="MFM3" t="s">
        <v>6174</v>
      </c>
      <c r="MFN3" t="e">
        <f>-l</f>
        <v>#NAME?</v>
      </c>
      <c r="MFO3" t="s">
        <v>6175</v>
      </c>
      <c r="MFP3" t="s">
        <v>6176</v>
      </c>
      <c r="MFQ3" t="s">
        <v>6177</v>
      </c>
      <c r="MFR3" t="s">
        <v>6178</v>
      </c>
      <c r="MFS3" t="s">
        <v>6179</v>
      </c>
      <c r="MFT3" t="s">
        <v>6180</v>
      </c>
      <c r="MFU3" t="s">
        <v>6181</v>
      </c>
      <c r="MFV3" t="s">
        <v>6182</v>
      </c>
      <c r="MFW3" t="s">
        <v>6183</v>
      </c>
      <c r="MFX3" t="s">
        <v>6184</v>
      </c>
      <c r="MFY3" t="s">
        <v>6185</v>
      </c>
      <c r="MFZ3" t="s">
        <v>6186</v>
      </c>
      <c r="MGA3" t="s">
        <v>6187</v>
      </c>
      <c r="MGB3" t="s">
        <v>6178</v>
      </c>
      <c r="MGC3" t="s">
        <v>6188</v>
      </c>
      <c r="MGD3" t="s">
        <v>6189</v>
      </c>
      <c r="MGE3" t="s">
        <v>6190</v>
      </c>
      <c r="MGF3" t="s">
        <v>6191</v>
      </c>
      <c r="MGG3" t="s">
        <v>6178</v>
      </c>
      <c r="MGH3" t="s">
        <v>6192</v>
      </c>
      <c r="MGI3" t="s">
        <v>6193</v>
      </c>
      <c r="MGJ3" t="s">
        <v>6194</v>
      </c>
      <c r="MGK3" t="s">
        <v>6195</v>
      </c>
      <c r="MGL3" t="s">
        <v>6196</v>
      </c>
      <c r="MGM3" t="s">
        <v>6197</v>
      </c>
      <c r="MGN3" t="s">
        <v>5838</v>
      </c>
      <c r="MGO3" t="s">
        <v>6198</v>
      </c>
      <c r="MGP3" t="s">
        <v>6199</v>
      </c>
      <c r="MGQ3" t="s">
        <v>6200</v>
      </c>
      <c r="MGR3">
        <v>0</v>
      </c>
      <c r="MGS3" t="s">
        <v>125</v>
      </c>
      <c r="MGT3" t="s">
        <v>48</v>
      </c>
      <c r="MGU3" t="s">
        <v>49</v>
      </c>
      <c r="MGV3" t="s">
        <v>6201</v>
      </c>
      <c r="MGW3" t="s">
        <v>6202</v>
      </c>
      <c r="MGX3" t="s">
        <v>6203</v>
      </c>
      <c r="MGY3" t="s">
        <v>6204</v>
      </c>
      <c r="MGZ3" t="s">
        <v>6205</v>
      </c>
      <c r="MHA3" t="s">
        <v>6206</v>
      </c>
      <c r="MHB3" t="s">
        <v>6207</v>
      </c>
      <c r="MHC3" t="s">
        <v>6208</v>
      </c>
      <c r="MHD3" t="s">
        <v>6209</v>
      </c>
      <c r="MHE3" t="s">
        <v>6210</v>
      </c>
      <c r="MHF3" t="s">
        <v>44</v>
      </c>
      <c r="MHG3" t="s">
        <v>5502</v>
      </c>
      <c r="MHH3" t="s">
        <v>6211</v>
      </c>
      <c r="MHI3" t="s">
        <v>6212</v>
      </c>
      <c r="MHJ3" t="s">
        <v>6213</v>
      </c>
      <c r="MHK3" t="s">
        <v>6214</v>
      </c>
      <c r="MHL3" t="s">
        <v>6215</v>
      </c>
      <c r="MHM3" t="s">
        <v>1427</v>
      </c>
      <c r="MHN3" t="s">
        <v>388</v>
      </c>
      <c r="MHO3" t="s">
        <v>6216</v>
      </c>
      <c r="MHP3" t="s">
        <v>6217</v>
      </c>
      <c r="MHQ3" t="s">
        <v>6218</v>
      </c>
      <c r="MHR3" t="s">
        <v>6219</v>
      </c>
      <c r="MHS3" t="s">
        <v>6220</v>
      </c>
      <c r="MHT3" t="s">
        <v>1402</v>
      </c>
      <c r="MHU3" t="s">
        <v>6221</v>
      </c>
      <c r="MHV3" t="s">
        <v>6222</v>
      </c>
      <c r="MHW3" t="s">
        <v>6223</v>
      </c>
      <c r="MHX3" t="s">
        <v>6224</v>
      </c>
      <c r="MHY3" t="s">
        <v>6225</v>
      </c>
      <c r="MHZ3" t="s">
        <v>6226</v>
      </c>
      <c r="MIA3" t="s">
        <v>6227</v>
      </c>
      <c r="MIB3" t="s">
        <v>6228</v>
      </c>
      <c r="MIC3" t="s">
        <v>258</v>
      </c>
      <c r="MID3" t="s">
        <v>6229</v>
      </c>
      <c r="MIE3" t="s">
        <v>6230</v>
      </c>
      <c r="MIF3" t="s">
        <v>6231</v>
      </c>
      <c r="MIG3" t="s">
        <v>3389</v>
      </c>
      <c r="MIH3" t="s">
        <v>6232</v>
      </c>
      <c r="MII3" t="s">
        <v>6233</v>
      </c>
      <c r="MIJ3" t="s">
        <v>44</v>
      </c>
      <c r="MIK3" t="s">
        <v>243</v>
      </c>
      <c r="MIL3" t="s">
        <v>6234</v>
      </c>
      <c r="MIM3" t="s">
        <v>6235</v>
      </c>
      <c r="MIN3" t="s">
        <v>6236</v>
      </c>
      <c r="MIO3" t="s">
        <v>6237</v>
      </c>
      <c r="MIP3" t="s">
        <v>6238</v>
      </c>
      <c r="MIQ3" t="s">
        <v>46</v>
      </c>
      <c r="MIR3" t="s">
        <v>6239</v>
      </c>
      <c r="MIS3" t="s">
        <v>6240</v>
      </c>
      <c r="MIT3" t="s">
        <v>6241</v>
      </c>
      <c r="MIU3" t="s">
        <v>6242</v>
      </c>
      <c r="MIV3" t="s">
        <v>6243</v>
      </c>
      <c r="MIW3" t="s">
        <v>6244</v>
      </c>
      <c r="MIX3" t="s">
        <v>6245</v>
      </c>
      <c r="MIY3" t="s">
        <v>6246</v>
      </c>
      <c r="MIZ3" t="s">
        <v>6247</v>
      </c>
      <c r="MJA3" t="s">
        <v>6248</v>
      </c>
      <c r="MJB3" t="s">
        <v>4161</v>
      </c>
      <c r="MJC3" t="s">
        <v>6249</v>
      </c>
      <c r="MJD3" t="s">
        <v>6250</v>
      </c>
      <c r="MJE3" t="s">
        <v>6251</v>
      </c>
      <c r="MJF3" t="s">
        <v>828</v>
      </c>
      <c r="MJG3" t="s">
        <v>5901</v>
      </c>
      <c r="MJH3" t="s">
        <v>5902</v>
      </c>
      <c r="MJI3" t="s">
        <v>825</v>
      </c>
      <c r="MJJ3" t="s">
        <v>5904</v>
      </c>
      <c r="MJK3" t="s">
        <v>6252</v>
      </c>
      <c r="MJL3" t="s">
        <v>825</v>
      </c>
      <c r="MJM3" t="s">
        <v>1025</v>
      </c>
      <c r="MJN3" t="s">
        <v>6253</v>
      </c>
      <c r="MJO3" t="s">
        <v>44</v>
      </c>
      <c r="MJP3" t="s">
        <v>6254</v>
      </c>
      <c r="MJQ3" t="s">
        <v>6255</v>
      </c>
      <c r="MJR3" t="s">
        <v>6256</v>
      </c>
      <c r="MJS3" t="s">
        <v>6257</v>
      </c>
      <c r="MJT3" t="s">
        <v>6258</v>
      </c>
      <c r="MJU3" t="s">
        <v>6259</v>
      </c>
      <c r="MJV3" t="s">
        <v>6260</v>
      </c>
      <c r="MJW3" t="s">
        <v>6261</v>
      </c>
      <c r="MJX3" t="s">
        <v>6262</v>
      </c>
      <c r="MJY3" t="s">
        <v>6263</v>
      </c>
      <c r="MJZ3" t="s">
        <v>6264</v>
      </c>
      <c r="MKA3" t="s">
        <v>6265</v>
      </c>
      <c r="MKB3" t="s">
        <v>186</v>
      </c>
      <c r="MKC3" t="s">
        <v>6266</v>
      </c>
      <c r="MKD3" t="s">
        <v>6267</v>
      </c>
      <c r="MKE3" t="s">
        <v>186</v>
      </c>
      <c r="MKF3" t="s">
        <v>6268</v>
      </c>
      <c r="MKG3" t="s">
        <v>6269</v>
      </c>
      <c r="MKH3" t="s">
        <v>6270</v>
      </c>
      <c r="MKI3" t="s">
        <v>6271</v>
      </c>
      <c r="MKJ3" t="s">
        <v>6272</v>
      </c>
      <c r="MKK3" t="s">
        <v>3977</v>
      </c>
      <c r="MKL3" t="s">
        <v>3990</v>
      </c>
      <c r="MKM3" t="s">
        <v>142</v>
      </c>
      <c r="MKN3" t="s">
        <v>1442</v>
      </c>
      <c r="MKO3" t="s">
        <v>6273</v>
      </c>
      <c r="MKP3" t="s">
        <v>3977</v>
      </c>
      <c r="MKQ3" t="s">
        <v>6274</v>
      </c>
      <c r="MKR3" t="s">
        <v>6275</v>
      </c>
      <c r="MKS3" t="s">
        <v>6276</v>
      </c>
      <c r="MKT3" t="s">
        <v>6277</v>
      </c>
      <c r="MKU3" t="s">
        <v>6278</v>
      </c>
      <c r="MKV3" t="s">
        <v>6279</v>
      </c>
      <c r="MKW3" t="s">
        <v>47</v>
      </c>
      <c r="MKX3" t="s">
        <v>6280</v>
      </c>
      <c r="MKY3" t="s">
        <v>6281</v>
      </c>
      <c r="MKZ3" t="s">
        <v>229</v>
      </c>
      <c r="MLA3" t="s">
        <v>6282</v>
      </c>
      <c r="MLB3" t="s">
        <v>6283</v>
      </c>
      <c r="MLC3" t="s">
        <v>6284</v>
      </c>
      <c r="MLD3" t="s">
        <v>6285</v>
      </c>
      <c r="MLE3" t="s">
        <v>6286</v>
      </c>
      <c r="MLF3" t="s">
        <v>44</v>
      </c>
      <c r="MLG3" t="s">
        <v>243</v>
      </c>
      <c r="MLH3" t="s">
        <v>4021</v>
      </c>
      <c r="MLI3" t="s">
        <v>4022</v>
      </c>
      <c r="MLJ3" t="s">
        <v>6287</v>
      </c>
      <c r="MLK3" t="s">
        <v>6288</v>
      </c>
      <c r="MLL3" t="s">
        <v>44</v>
      </c>
      <c r="MLM3" t="s">
        <v>4024</v>
      </c>
      <c r="MLN3" t="s">
        <v>1035</v>
      </c>
      <c r="MLO3" t="s">
        <v>44</v>
      </c>
      <c r="MLP3" t="s">
        <v>1503</v>
      </c>
      <c r="MLQ3" t="s">
        <v>125</v>
      </c>
      <c r="MLR3" t="s">
        <v>6289</v>
      </c>
      <c r="MLS3" t="s">
        <v>6290</v>
      </c>
      <c r="MLT3" t="s">
        <v>6291</v>
      </c>
      <c r="MLU3" t="s">
        <v>6292</v>
      </c>
      <c r="MLV3" t="s">
        <v>6293</v>
      </c>
      <c r="MLW3" t="s">
        <v>6294</v>
      </c>
      <c r="MLX3" t="s">
        <v>6295</v>
      </c>
      <c r="MLY3" t="s">
        <v>4034</v>
      </c>
      <c r="MLZ3" t="s">
        <v>6296</v>
      </c>
      <c r="MMA3" t="s">
        <v>1308</v>
      </c>
      <c r="MMB3" t="s">
        <v>1309</v>
      </c>
      <c r="MMC3" t="s">
        <v>6297</v>
      </c>
      <c r="MMD3" t="s">
        <v>6298</v>
      </c>
      <c r="MME3" t="s">
        <v>6299</v>
      </c>
      <c r="MMF3" t="s">
        <v>44</v>
      </c>
      <c r="MMG3" t="s">
        <v>1511</v>
      </c>
      <c r="MMH3" t="s">
        <v>6300</v>
      </c>
      <c r="MMI3" t="s">
        <v>6301</v>
      </c>
      <c r="MMJ3" t="s">
        <v>6302</v>
      </c>
      <c r="MMK3" t="s">
        <v>6303</v>
      </c>
      <c r="MML3" t="s">
        <v>6304</v>
      </c>
      <c r="MMM3" t="s">
        <v>6305</v>
      </c>
      <c r="MMN3" t="s">
        <v>6306</v>
      </c>
      <c r="MMO3" t="s">
        <v>6307</v>
      </c>
      <c r="MMP3" t="s">
        <v>388</v>
      </c>
      <c r="MMQ3" t="s">
        <v>6308</v>
      </c>
      <c r="MMR3" t="s">
        <v>388</v>
      </c>
      <c r="MMS3" t="s">
        <v>4040</v>
      </c>
      <c r="MMT3" t="s">
        <v>1511</v>
      </c>
      <c r="MMU3" t="s">
        <v>47</v>
      </c>
      <c r="MMV3" t="s">
        <v>932</v>
      </c>
      <c r="MMW3" t="s">
        <v>3284</v>
      </c>
      <c r="MMX3" t="s">
        <v>4040</v>
      </c>
      <c r="MMY3" t="s">
        <v>1511</v>
      </c>
      <c r="MMZ3" t="s">
        <v>47</v>
      </c>
      <c r="MNA3" t="s">
        <v>932</v>
      </c>
      <c r="MNB3" t="s">
        <v>6309</v>
      </c>
      <c r="MNC3" t="s">
        <v>6310</v>
      </c>
      <c r="MND3" t="s">
        <v>6311</v>
      </c>
      <c r="MNE3" t="s">
        <v>6312</v>
      </c>
      <c r="MNF3" t="s">
        <v>6313</v>
      </c>
      <c r="MNG3" t="s">
        <v>44</v>
      </c>
      <c r="MNH3" t="s">
        <v>6314</v>
      </c>
      <c r="MNI3" t="s">
        <v>6315</v>
      </c>
      <c r="MNJ3" t="s">
        <v>6316</v>
      </c>
      <c r="MNK3" t="s">
        <v>6317</v>
      </c>
      <c r="MNL3" t="s">
        <v>4042</v>
      </c>
      <c r="MNM3" t="s">
        <v>44</v>
      </c>
      <c r="MNN3" t="s">
        <v>6318</v>
      </c>
      <c r="MNO3" t="s">
        <v>6319</v>
      </c>
      <c r="MNP3" t="s">
        <v>6320</v>
      </c>
      <c r="MNQ3" t="s">
        <v>6321</v>
      </c>
      <c r="MNR3" t="s">
        <v>44</v>
      </c>
      <c r="MNS3" t="s">
        <v>6322</v>
      </c>
      <c r="MNT3" t="s">
        <v>6323</v>
      </c>
      <c r="MNU3" t="s">
        <v>6324</v>
      </c>
      <c r="MNV3" t="s">
        <v>5770</v>
      </c>
      <c r="MNW3" t="s">
        <v>4829</v>
      </c>
      <c r="MNX3" t="s">
        <v>6325</v>
      </c>
      <c r="MNY3" t="s">
        <v>6326</v>
      </c>
      <c r="MNZ3" t="s">
        <v>6327</v>
      </c>
      <c r="MOA3" t="s">
        <v>6328</v>
      </c>
      <c r="MOB3" t="s">
        <v>6329</v>
      </c>
      <c r="MOC3" t="s">
        <v>6330</v>
      </c>
      <c r="MOD3" t="s">
        <v>6331</v>
      </c>
      <c r="MOE3" t="s">
        <v>1882</v>
      </c>
      <c r="MOF3" t="s">
        <v>6332</v>
      </c>
      <c r="MOG3" t="s">
        <v>6333</v>
      </c>
      <c r="MOH3" t="s">
        <v>1352</v>
      </c>
      <c r="MOI3" t="s">
        <v>6334</v>
      </c>
      <c r="MOJ3" t="s">
        <v>6335</v>
      </c>
      <c r="MOK3" t="s">
        <v>6336</v>
      </c>
      <c r="MOL3" t="s">
        <v>6337</v>
      </c>
      <c r="MOM3" t="s">
        <v>6338</v>
      </c>
      <c r="MON3">
        <v>0</v>
      </c>
      <c r="MOO3">
        <v>0</v>
      </c>
      <c r="MOP3" t="s">
        <v>1797</v>
      </c>
      <c r="MOQ3" t="s">
        <v>6339</v>
      </c>
      <c r="MOR3" t="s">
        <v>6340</v>
      </c>
      <c r="MOS3" t="s">
        <v>6341</v>
      </c>
      <c r="MOT3" t="s">
        <v>6342</v>
      </c>
      <c r="MOU3" t="s">
        <v>6343</v>
      </c>
      <c r="MOV3" t="s">
        <v>6344</v>
      </c>
      <c r="MOW3" t="s">
        <v>6345</v>
      </c>
      <c r="MOX3" t="s">
        <v>6346</v>
      </c>
      <c r="MOY3" t="s">
        <v>6347</v>
      </c>
      <c r="MOZ3" t="s">
        <v>6348</v>
      </c>
      <c r="MPA3" t="s">
        <v>6349</v>
      </c>
      <c r="MPB3" t="s">
        <v>255</v>
      </c>
      <c r="MPC3" t="s">
        <v>1352</v>
      </c>
      <c r="MPD3" t="s">
        <v>6350</v>
      </c>
      <c r="MPE3" t="s">
        <v>6351</v>
      </c>
      <c r="MPF3" t="s">
        <v>6352</v>
      </c>
      <c r="MPG3" t="s">
        <v>6353</v>
      </c>
      <c r="MPH3" t="s">
        <v>4555</v>
      </c>
      <c r="MPI3" t="s">
        <v>6354</v>
      </c>
      <c r="MPJ3" t="s">
        <v>6355</v>
      </c>
      <c r="MPK3" t="s">
        <v>6356</v>
      </c>
      <c r="MPL3" t="s">
        <v>6357</v>
      </c>
      <c r="MPM3" t="s">
        <v>1695</v>
      </c>
      <c r="MPN3" t="s">
        <v>6358</v>
      </c>
      <c r="MPO3" t="s">
        <v>6359</v>
      </c>
      <c r="MPP3" t="s">
        <v>6360</v>
      </c>
      <c r="MPQ3" t="s">
        <v>6361</v>
      </c>
      <c r="MPR3" t="s">
        <v>6362</v>
      </c>
      <c r="MPS3" t="s">
        <v>6363</v>
      </c>
      <c r="MPT3" t="s">
        <v>6364</v>
      </c>
      <c r="MPU3" t="s">
        <v>44</v>
      </c>
      <c r="MPV3" t="s">
        <v>6365</v>
      </c>
      <c r="MPW3" t="s">
        <v>6366</v>
      </c>
      <c r="MPX3" t="s">
        <v>6367</v>
      </c>
      <c r="MPY3" t="s">
        <v>6368</v>
      </c>
      <c r="MPZ3" t="s">
        <v>6369</v>
      </c>
      <c r="MQA3" t="s">
        <v>6370</v>
      </c>
      <c r="MQB3" t="s">
        <v>6371</v>
      </c>
      <c r="MQC3" t="s">
        <v>6362</v>
      </c>
      <c r="MQD3" t="s">
        <v>6372</v>
      </c>
      <c r="MQE3" t="s">
        <v>6373</v>
      </c>
      <c r="MQF3" t="s">
        <v>44</v>
      </c>
      <c r="MQG3" t="s">
        <v>6374</v>
      </c>
      <c r="MQH3" t="s">
        <v>6375</v>
      </c>
      <c r="MQI3" t="s">
        <v>6376</v>
      </c>
      <c r="MQJ3" t="s">
        <v>6377</v>
      </c>
      <c r="MQK3" t="s">
        <v>6378</v>
      </c>
      <c r="MQL3" t="s">
        <v>3806</v>
      </c>
      <c r="MQM3" t="s">
        <v>6379</v>
      </c>
      <c r="MQN3" t="s">
        <v>3806</v>
      </c>
      <c r="MQO3" t="s">
        <v>2495</v>
      </c>
      <c r="MQP3" t="s">
        <v>3850</v>
      </c>
      <c r="MQQ3" t="s">
        <v>3991</v>
      </c>
      <c r="MQR3" t="s">
        <v>3806</v>
      </c>
      <c r="MQS3" t="s">
        <v>6380</v>
      </c>
      <c r="MQT3" t="s">
        <v>126</v>
      </c>
      <c r="MQU3" t="s">
        <v>6381</v>
      </c>
      <c r="MQV3" t="s">
        <v>2667</v>
      </c>
      <c r="MQW3" t="s">
        <v>3806</v>
      </c>
      <c r="MQX3" t="s">
        <v>3806</v>
      </c>
      <c r="MQY3" t="s">
        <v>6382</v>
      </c>
      <c r="MQZ3" t="s">
        <v>173</v>
      </c>
      <c r="MRA3">
        <v>0</v>
      </c>
      <c r="MRB3">
        <v>0</v>
      </c>
      <c r="MRC3" t="s">
        <v>1797</v>
      </c>
      <c r="MRD3" t="s">
        <v>3806</v>
      </c>
      <c r="MRE3" t="s">
        <v>3990</v>
      </c>
      <c r="MRF3" t="s">
        <v>142</v>
      </c>
      <c r="MRG3" t="s">
        <v>1442</v>
      </c>
      <c r="MRH3" t="s">
        <v>6383</v>
      </c>
      <c r="MRI3" t="s">
        <v>3806</v>
      </c>
      <c r="MRJ3" t="s">
        <v>2672</v>
      </c>
      <c r="MRK3" t="s">
        <v>6384</v>
      </c>
      <c r="MRL3" t="s">
        <v>44</v>
      </c>
      <c r="MRM3" t="s">
        <v>6385</v>
      </c>
      <c r="MRN3" t="s">
        <v>6386</v>
      </c>
      <c r="MRO3" t="s">
        <v>6387</v>
      </c>
      <c r="MRP3" t="s">
        <v>6388</v>
      </c>
      <c r="MRQ3" t="s">
        <v>6389</v>
      </c>
      <c r="MRR3" t="s">
        <v>6390</v>
      </c>
      <c r="MRS3" t="s">
        <v>44</v>
      </c>
      <c r="MRT3" t="s">
        <v>6391</v>
      </c>
      <c r="MRU3" t="s">
        <v>6392</v>
      </c>
      <c r="MRV3" t="s">
        <v>6393</v>
      </c>
      <c r="MRW3" t="s">
        <v>6394</v>
      </c>
      <c r="MRX3" t="s">
        <v>6395</v>
      </c>
      <c r="MRY3" t="s">
        <v>6396</v>
      </c>
      <c r="MRZ3" t="s">
        <v>6397</v>
      </c>
      <c r="MSA3" t="s">
        <v>6398</v>
      </c>
      <c r="MSB3" t="s">
        <v>6399</v>
      </c>
      <c r="MSC3" t="s">
        <v>6400</v>
      </c>
      <c r="MSD3" t="s">
        <v>6401</v>
      </c>
      <c r="MSE3" t="s">
        <v>6402</v>
      </c>
      <c r="MSF3" t="s">
        <v>6403</v>
      </c>
      <c r="MSG3" t="s">
        <v>6404</v>
      </c>
      <c r="MSH3" t="s">
        <v>6405</v>
      </c>
      <c r="MSI3" t="s">
        <v>6406</v>
      </c>
      <c r="MSJ3" t="s">
        <v>49</v>
      </c>
      <c r="MSK3" t="s">
        <v>896</v>
      </c>
      <c r="MSL3" t="s">
        <v>863</v>
      </c>
      <c r="MSM3" t="s">
        <v>6407</v>
      </c>
      <c r="MSN3" t="s">
        <v>6408</v>
      </c>
      <c r="MSO3" t="s">
        <v>6409</v>
      </c>
      <c r="MSP3" t="s">
        <v>6410</v>
      </c>
      <c r="MSQ3" t="s">
        <v>6411</v>
      </c>
      <c r="MSR3" t="s">
        <v>6412</v>
      </c>
      <c r="MSS3" t="s">
        <v>6413</v>
      </c>
      <c r="MST3" t="s">
        <v>6414</v>
      </c>
      <c r="MSU3" t="s">
        <v>6415</v>
      </c>
      <c r="MSV3" t="s">
        <v>6416</v>
      </c>
      <c r="MSW3" t="s">
        <v>6417</v>
      </c>
      <c r="MSX3" t="s">
        <v>6418</v>
      </c>
      <c r="MSY3" t="s">
        <v>310</v>
      </c>
      <c r="MSZ3" t="s">
        <v>861</v>
      </c>
      <c r="MTA3" t="s">
        <v>6419</v>
      </c>
      <c r="MTB3" t="s">
        <v>6420</v>
      </c>
      <c r="MTC3" t="s">
        <v>6421</v>
      </c>
      <c r="MTD3" t="s">
        <v>6422</v>
      </c>
      <c r="MTE3" t="s">
        <v>6423</v>
      </c>
      <c r="MTF3" t="s">
        <v>6424</v>
      </c>
      <c r="MTG3" t="s">
        <v>6425</v>
      </c>
      <c r="MTH3" t="s">
        <v>6426</v>
      </c>
      <c r="MTI3" t="s">
        <v>6427</v>
      </c>
      <c r="MTJ3" t="s">
        <v>6428</v>
      </c>
      <c r="MTK3" t="s">
        <v>6429</v>
      </c>
      <c r="MTL3" t="s">
        <v>6430</v>
      </c>
      <c r="MTM3" t="s">
        <v>6431</v>
      </c>
      <c r="MTN3" t="s">
        <v>6432</v>
      </c>
      <c r="MTO3" t="s">
        <v>6433</v>
      </c>
      <c r="MTP3" t="s">
        <v>6434</v>
      </c>
      <c r="MTQ3" t="s">
        <v>6435</v>
      </c>
      <c r="MTR3" t="s">
        <v>44</v>
      </c>
      <c r="MTS3" t="s">
        <v>6436</v>
      </c>
      <c r="MTT3" t="s">
        <v>6437</v>
      </c>
      <c r="MTU3">
        <v>0</v>
      </c>
      <c r="MTV3" t="s">
        <v>6438</v>
      </c>
      <c r="MTW3" t="s">
        <v>6439</v>
      </c>
      <c r="MTX3" t="s">
        <v>6440</v>
      </c>
      <c r="MTY3">
        <v>0</v>
      </c>
      <c r="MTZ3" t="s">
        <v>6441</v>
      </c>
      <c r="MUA3" t="s">
        <v>6442</v>
      </c>
      <c r="MUB3" t="s">
        <v>6443</v>
      </c>
      <c r="MUC3" t="s">
        <v>6444</v>
      </c>
      <c r="MUD3" t="s">
        <v>6445</v>
      </c>
      <c r="MUE3" t="s">
        <v>6446</v>
      </c>
      <c r="MUF3" t="s">
        <v>44</v>
      </c>
      <c r="MUG3" t="s">
        <v>6447</v>
      </c>
      <c r="MUH3" t="s">
        <v>6448</v>
      </c>
      <c r="MUI3" t="s">
        <v>6449</v>
      </c>
      <c r="MUJ3" t="s">
        <v>6450</v>
      </c>
      <c r="MUK3" t="s">
        <v>6451</v>
      </c>
      <c r="MUL3" t="s">
        <v>6452</v>
      </c>
      <c r="MUM3" t="s">
        <v>6453</v>
      </c>
      <c r="MUN3" t="s">
        <v>6454</v>
      </c>
      <c r="MUO3" t="s">
        <v>6455</v>
      </c>
      <c r="MUP3" t="s">
        <v>6456</v>
      </c>
      <c r="MUQ3" t="s">
        <v>6457</v>
      </c>
      <c r="MUR3" t="s">
        <v>6458</v>
      </c>
      <c r="MUS3" t="s">
        <v>6459</v>
      </c>
      <c r="MUT3" t="s">
        <v>6460</v>
      </c>
      <c r="MUU3" t="s">
        <v>6461</v>
      </c>
      <c r="MUV3" t="s">
        <v>44</v>
      </c>
      <c r="MUW3" t="s">
        <v>6462</v>
      </c>
      <c r="MUX3" t="s">
        <v>6463</v>
      </c>
      <c r="MUY3" t="s">
        <v>5504</v>
      </c>
      <c r="MUZ3" t="s">
        <v>6464</v>
      </c>
      <c r="MVA3" t="s">
        <v>937</v>
      </c>
      <c r="MVB3" t="s">
        <v>6465</v>
      </c>
      <c r="MVC3" t="s">
        <v>6466</v>
      </c>
      <c r="MVD3" t="s">
        <v>6467</v>
      </c>
      <c r="MVE3" t="s">
        <v>6468</v>
      </c>
      <c r="MVF3" t="s">
        <v>6469</v>
      </c>
      <c r="MVG3" t="s">
        <v>6470</v>
      </c>
      <c r="MVH3" t="s">
        <v>6471</v>
      </c>
      <c r="MVI3" t="s">
        <v>6472</v>
      </c>
      <c r="MVJ3" t="s">
        <v>6473</v>
      </c>
      <c r="MVK3" t="s">
        <v>6474</v>
      </c>
      <c r="MVL3" t="s">
        <v>6475</v>
      </c>
      <c r="MVM3" t="s">
        <v>6476</v>
      </c>
      <c r="MVN3" t="s">
        <v>6477</v>
      </c>
      <c r="MVO3" t="s">
        <v>6478</v>
      </c>
      <c r="MVP3" t="s">
        <v>6479</v>
      </c>
      <c r="MVQ3" t="s">
        <v>6480</v>
      </c>
      <c r="MVR3" t="s">
        <v>6481</v>
      </c>
      <c r="MVS3" t="s">
        <v>6482</v>
      </c>
      <c r="MVT3" t="s">
        <v>6483</v>
      </c>
      <c r="MVU3" t="s">
        <v>6484</v>
      </c>
      <c r="MVV3" t="s">
        <v>6485</v>
      </c>
      <c r="MVW3" t="s">
        <v>6486</v>
      </c>
      <c r="MVX3" t="s">
        <v>6487</v>
      </c>
      <c r="MVY3" t="s">
        <v>6488</v>
      </c>
      <c r="MVZ3" t="s">
        <v>6489</v>
      </c>
      <c r="MWA3" t="s">
        <v>6490</v>
      </c>
      <c r="MWB3" t="s">
        <v>6491</v>
      </c>
      <c r="MWC3" t="s">
        <v>6492</v>
      </c>
      <c r="MWD3" t="s">
        <v>6493</v>
      </c>
      <c r="MWE3" t="s">
        <v>6494</v>
      </c>
      <c r="MWF3" t="s">
        <v>6495</v>
      </c>
      <c r="MWG3" t="s">
        <v>6496</v>
      </c>
      <c r="MWH3" t="s">
        <v>6497</v>
      </c>
      <c r="MWI3" t="s">
        <v>44</v>
      </c>
      <c r="MWJ3" t="s">
        <v>125</v>
      </c>
      <c r="MWK3" t="s">
        <v>126</v>
      </c>
      <c r="MWL3" t="s">
        <v>46</v>
      </c>
      <c r="MWM3" t="s">
        <v>47</v>
      </c>
      <c r="MWN3" t="s">
        <v>6498</v>
      </c>
      <c r="MWO3" t="s">
        <v>48</v>
      </c>
      <c r="MWP3" t="s">
        <v>49</v>
      </c>
      <c r="MWQ3" t="s">
        <v>254</v>
      </c>
      <c r="MWR3" t="s">
        <v>896</v>
      </c>
      <c r="MWS3" t="s">
        <v>310</v>
      </c>
      <c r="MWT3" t="s">
        <v>1308</v>
      </c>
      <c r="MWU3" t="s">
        <v>1310</v>
      </c>
      <c r="MWV3" t="s">
        <v>1511</v>
      </c>
      <c r="MWW3" t="s">
        <v>6499</v>
      </c>
      <c r="MWX3" t="s">
        <v>6500</v>
      </c>
      <c r="MWY3" t="s">
        <v>6501</v>
      </c>
      <c r="MWZ3" t="s">
        <v>44</v>
      </c>
      <c r="MXA3" t="s">
        <v>6502</v>
      </c>
      <c r="MXB3" t="s">
        <v>2132</v>
      </c>
      <c r="MXC3" t="s">
        <v>126</v>
      </c>
      <c r="MXD3" t="s">
        <v>6503</v>
      </c>
      <c r="MXE3" t="s">
        <v>6504</v>
      </c>
      <c r="MXF3" t="s">
        <v>6505</v>
      </c>
      <c r="MXG3" t="s">
        <v>6506</v>
      </c>
      <c r="MXH3" t="s">
        <v>6507</v>
      </c>
      <c r="MXI3" t="s">
        <v>6508</v>
      </c>
      <c r="MXJ3" t="s">
        <v>6509</v>
      </c>
      <c r="MXK3" t="s">
        <v>6510</v>
      </c>
      <c r="MXL3" t="s">
        <v>125</v>
      </c>
      <c r="MXM3" t="s">
        <v>126</v>
      </c>
      <c r="MXN3" t="s">
        <v>6511</v>
      </c>
      <c r="MXO3" t="s">
        <v>2132</v>
      </c>
      <c r="MXP3" t="s">
        <v>126</v>
      </c>
      <c r="MXQ3" t="s">
        <v>46</v>
      </c>
      <c r="MXR3" t="s">
        <v>6512</v>
      </c>
      <c r="MXS3" t="s">
        <v>6513</v>
      </c>
      <c r="MXT3" t="s">
        <v>125</v>
      </c>
      <c r="MXU3" t="s">
        <v>6514</v>
      </c>
      <c r="MXV3" t="s">
        <v>6515</v>
      </c>
      <c r="MXW3" t="s">
        <v>6516</v>
      </c>
      <c r="MXX3" t="s">
        <v>1470</v>
      </c>
      <c r="MXY3" t="s">
        <v>6517</v>
      </c>
      <c r="MXZ3" t="s">
        <v>6518</v>
      </c>
      <c r="MYA3" t="s">
        <v>6519</v>
      </c>
      <c r="MYB3" t="s">
        <v>44</v>
      </c>
      <c r="MYC3" t="s">
        <v>6520</v>
      </c>
      <c r="MYD3" t="s">
        <v>6521</v>
      </c>
      <c r="MYE3" t="s">
        <v>6522</v>
      </c>
      <c r="MYF3" t="s">
        <v>6523</v>
      </c>
      <c r="MYG3" t="s">
        <v>861</v>
      </c>
      <c r="MYH3" t="s">
        <v>6524</v>
      </c>
      <c r="MYI3" t="s">
        <v>6525</v>
      </c>
      <c r="MYJ3" t="s">
        <v>3389</v>
      </c>
      <c r="MYK3" t="s">
        <v>6526</v>
      </c>
      <c r="MYL3" t="s">
        <v>6527</v>
      </c>
      <c r="MYM3" t="s">
        <v>511</v>
      </c>
      <c r="MYN3" t="s">
        <v>6528</v>
      </c>
      <c r="MYO3" t="s">
        <v>6529</v>
      </c>
      <c r="MYP3" t="s">
        <v>6530</v>
      </c>
      <c r="MYQ3" t="s">
        <v>6531</v>
      </c>
      <c r="MYR3" t="s">
        <v>289</v>
      </c>
      <c r="MYS3" t="s">
        <v>1503</v>
      </c>
      <c r="MYT3" t="s">
        <v>6532</v>
      </c>
      <c r="MYU3" t="s">
        <v>6533</v>
      </c>
      <c r="MYV3" t="s">
        <v>6534</v>
      </c>
      <c r="MYW3" t="s">
        <v>6535</v>
      </c>
      <c r="MYX3" t="s">
        <v>6536</v>
      </c>
      <c r="MYY3" t="s">
        <v>6537</v>
      </c>
      <c r="MYZ3" t="s">
        <v>6538</v>
      </c>
      <c r="MZA3" t="s">
        <v>125</v>
      </c>
      <c r="MZB3" t="s">
        <v>126</v>
      </c>
      <c r="MZC3" t="s">
        <v>6539</v>
      </c>
      <c r="MZD3" t="s">
        <v>6540</v>
      </c>
      <c r="MZE3" t="s">
        <v>6541</v>
      </c>
      <c r="MZF3" t="s">
        <v>6542</v>
      </c>
      <c r="MZG3" t="s">
        <v>6543</v>
      </c>
      <c r="MZH3" t="s">
        <v>6544</v>
      </c>
      <c r="MZI3" t="s">
        <v>6545</v>
      </c>
      <c r="MZJ3" t="s">
        <v>6546</v>
      </c>
      <c r="MZK3" t="s">
        <v>6547</v>
      </c>
      <c r="MZL3" t="s">
        <v>6548</v>
      </c>
      <c r="MZM3" t="s">
        <v>6549</v>
      </c>
      <c r="MZN3" t="s">
        <v>6550</v>
      </c>
      <c r="MZO3" t="s">
        <v>6551</v>
      </c>
      <c r="MZP3" t="s">
        <v>6552</v>
      </c>
      <c r="MZQ3" t="s">
        <v>6553</v>
      </c>
      <c r="MZR3" t="s">
        <v>6554</v>
      </c>
      <c r="MZS3" t="s">
        <v>6555</v>
      </c>
      <c r="MZT3" t="s">
        <v>6556</v>
      </c>
      <c r="MZU3" t="s">
        <v>6557</v>
      </c>
      <c r="MZV3" t="s">
        <v>6558</v>
      </c>
      <c r="MZW3" t="s">
        <v>6559</v>
      </c>
      <c r="MZX3" t="s">
        <v>6537</v>
      </c>
      <c r="MZY3" t="s">
        <v>6560</v>
      </c>
      <c r="MZZ3" t="s">
        <v>125</v>
      </c>
      <c r="NAA3" t="s">
        <v>126</v>
      </c>
      <c r="NAB3" t="s">
        <v>6561</v>
      </c>
      <c r="NAC3" t="s">
        <v>6562</v>
      </c>
      <c r="NAD3" t="s">
        <v>125</v>
      </c>
      <c r="NAE3" t="s">
        <v>126</v>
      </c>
      <c r="NAF3" t="s">
        <v>6563</v>
      </c>
      <c r="NAG3" t="s">
        <v>6540</v>
      </c>
      <c r="NAH3" t="s">
        <v>6564</v>
      </c>
      <c r="NAI3" t="s">
        <v>44</v>
      </c>
      <c r="NAJ3" t="s">
        <v>6565</v>
      </c>
      <c r="NAK3" t="s">
        <v>6566</v>
      </c>
      <c r="NAL3" t="s">
        <v>6567</v>
      </c>
      <c r="NAM3" t="s">
        <v>6568</v>
      </c>
      <c r="NAN3" t="s">
        <v>6569</v>
      </c>
      <c r="NAO3" t="s">
        <v>6570</v>
      </c>
      <c r="NAP3" t="s">
        <v>6571</v>
      </c>
      <c r="NAQ3" t="s">
        <v>6572</v>
      </c>
      <c r="NAR3" t="s">
        <v>6573</v>
      </c>
      <c r="NAS3" t="s">
        <v>6574</v>
      </c>
      <c r="NAT3" t="s">
        <v>6575</v>
      </c>
      <c r="NAU3" t="s">
        <v>6576</v>
      </c>
      <c r="NAV3" t="s">
        <v>6577</v>
      </c>
      <c r="NAW3" t="s">
        <v>6578</v>
      </c>
      <c r="NAX3" t="s">
        <v>254</v>
      </c>
      <c r="NAY3" t="s">
        <v>6579</v>
      </c>
      <c r="NAZ3" t="s">
        <v>6580</v>
      </c>
      <c r="NBA3" t="s">
        <v>6581</v>
      </c>
      <c r="NBB3" t="s">
        <v>46</v>
      </c>
      <c r="NBC3" t="s">
        <v>6582</v>
      </c>
      <c r="NBD3" t="s">
        <v>6583</v>
      </c>
      <c r="NBE3" t="s">
        <v>6580</v>
      </c>
      <c r="NBF3" t="s">
        <v>6584</v>
      </c>
      <c r="NBG3" t="s">
        <v>6585</v>
      </c>
      <c r="NBH3" t="s">
        <v>46</v>
      </c>
      <c r="NBI3" t="s">
        <v>6586</v>
      </c>
      <c r="NBJ3" t="s">
        <v>6587</v>
      </c>
      <c r="NBK3" t="s">
        <v>6588</v>
      </c>
      <c r="NBL3" t="s">
        <v>6589</v>
      </c>
      <c r="NBM3" t="s">
        <v>44</v>
      </c>
      <c r="NBN3" t="s">
        <v>125</v>
      </c>
      <c r="NBO3" t="s">
        <v>6590</v>
      </c>
      <c r="NBP3" t="s">
        <v>47</v>
      </c>
      <c r="NBQ3" t="s">
        <v>1503</v>
      </c>
      <c r="NBR3" t="s">
        <v>432</v>
      </c>
      <c r="NBS3" t="s">
        <v>6591</v>
      </c>
      <c r="NBT3" t="s">
        <v>6592</v>
      </c>
      <c r="NBU3" t="s">
        <v>46</v>
      </c>
      <c r="NBV3" t="s">
        <v>6593</v>
      </c>
      <c r="NBW3" t="s">
        <v>6594</v>
      </c>
      <c r="NBX3" t="s">
        <v>6595</v>
      </c>
      <c r="NBY3" t="s">
        <v>46</v>
      </c>
      <c r="NBZ3" t="s">
        <v>6593</v>
      </c>
      <c r="NCA3" t="s">
        <v>6596</v>
      </c>
      <c r="NCB3" t="s">
        <v>46</v>
      </c>
      <c r="NCC3" t="s">
        <v>6597</v>
      </c>
      <c r="NCD3" t="s">
        <v>6598</v>
      </c>
      <c r="NCE3" t="s">
        <v>6597</v>
      </c>
      <c r="NCF3" t="s">
        <v>6599</v>
      </c>
      <c r="NCG3" t="s">
        <v>46</v>
      </c>
      <c r="NCH3" t="s">
        <v>6593</v>
      </c>
      <c r="NCI3" t="s">
        <v>6600</v>
      </c>
      <c r="NCJ3" t="s">
        <v>44</v>
      </c>
      <c r="NCK3" t="s">
        <v>125</v>
      </c>
      <c r="NCL3" t="s">
        <v>6601</v>
      </c>
      <c r="NCM3" t="s">
        <v>6602</v>
      </c>
      <c r="NCN3" t="s">
        <v>6603</v>
      </c>
      <c r="NCO3" t="s">
        <v>6604</v>
      </c>
      <c r="NCP3" t="s">
        <v>6605</v>
      </c>
      <c r="NCQ3" t="s">
        <v>6606</v>
      </c>
      <c r="NCR3" t="s">
        <v>6607</v>
      </c>
      <c r="NCS3" t="s">
        <v>44</v>
      </c>
      <c r="NCT3" t="s">
        <v>429</v>
      </c>
      <c r="NCU3" t="s">
        <v>6608</v>
      </c>
      <c r="NCV3" t="s">
        <v>6609</v>
      </c>
      <c r="NCW3" t="s">
        <v>6610</v>
      </c>
      <c r="NCX3" t="s">
        <v>6611</v>
      </c>
      <c r="NCY3" t="s">
        <v>6612</v>
      </c>
      <c r="NCZ3" t="s">
        <v>6613</v>
      </c>
      <c r="NDA3" t="s">
        <v>6614</v>
      </c>
      <c r="NDB3" t="s">
        <v>863</v>
      </c>
      <c r="NDC3" t="s">
        <v>6615</v>
      </c>
      <c r="NDD3" t="s">
        <v>6616</v>
      </c>
      <c r="NDE3" t="s">
        <v>6617</v>
      </c>
      <c r="NDF3" t="s">
        <v>6618</v>
      </c>
      <c r="NDG3" t="s">
        <v>6619</v>
      </c>
      <c r="NDH3" t="s">
        <v>6620</v>
      </c>
      <c r="NDI3" t="s">
        <v>6621</v>
      </c>
      <c r="NDJ3" t="s">
        <v>6622</v>
      </c>
      <c r="NDK3" t="s">
        <v>6623</v>
      </c>
      <c r="NDL3" t="s">
        <v>6624</v>
      </c>
      <c r="NDM3" t="s">
        <v>1503</v>
      </c>
      <c r="NDN3" t="s">
        <v>6625</v>
      </c>
      <c r="NDO3" t="s">
        <v>6626</v>
      </c>
      <c r="NDP3" t="s">
        <v>1503</v>
      </c>
      <c r="NDQ3" t="s">
        <v>6627</v>
      </c>
      <c r="NDR3" t="s">
        <v>6628</v>
      </c>
      <c r="NDS3" t="s">
        <v>6629</v>
      </c>
      <c r="NDT3" t="s">
        <v>44</v>
      </c>
      <c r="NDU3" t="s">
        <v>6630</v>
      </c>
      <c r="NDV3" t="s">
        <v>6631</v>
      </c>
      <c r="NDW3" t="s">
        <v>6632</v>
      </c>
      <c r="NDX3" t="s">
        <v>6633</v>
      </c>
      <c r="NDY3" t="s">
        <v>6634</v>
      </c>
      <c r="NDZ3" t="s">
        <v>6635</v>
      </c>
      <c r="NEA3" t="s">
        <v>6636</v>
      </c>
      <c r="NEB3" t="s">
        <v>6637</v>
      </c>
      <c r="NEC3" t="s">
        <v>126</v>
      </c>
      <c r="NED3" t="s">
        <v>6638</v>
      </c>
      <c r="NEE3" t="s">
        <v>6037</v>
      </c>
      <c r="NEF3" t="s">
        <v>6639</v>
      </c>
      <c r="NEG3" t="s">
        <v>6640</v>
      </c>
      <c r="NEH3" t="s">
        <v>6641</v>
      </c>
      <c r="NEI3" t="s">
        <v>6642</v>
      </c>
      <c r="NEJ3" t="s">
        <v>6643</v>
      </c>
      <c r="NEK3" t="s">
        <v>126</v>
      </c>
      <c r="NEL3" t="s">
        <v>2982</v>
      </c>
      <c r="NEM3" t="s">
        <v>2983</v>
      </c>
      <c r="NEN3" t="s">
        <v>6644</v>
      </c>
      <c r="NEO3" t="s">
        <v>2615</v>
      </c>
      <c r="NEP3" t="s">
        <v>6645</v>
      </c>
      <c r="NEQ3" t="s">
        <v>6646</v>
      </c>
      <c r="NER3" t="s">
        <v>1470</v>
      </c>
      <c r="NES3" t="s">
        <v>6647</v>
      </c>
      <c r="NET3" t="s">
        <v>44</v>
      </c>
      <c r="NEU3" t="s">
        <v>125</v>
      </c>
      <c r="NEV3" t="s">
        <v>126</v>
      </c>
      <c r="NEW3" t="s">
        <v>3896</v>
      </c>
      <c r="NEX3" t="s">
        <v>1503</v>
      </c>
      <c r="NEY3" t="s">
        <v>511</v>
      </c>
      <c r="NEZ3" t="s">
        <v>6648</v>
      </c>
      <c r="NFA3" t="s">
        <v>6649</v>
      </c>
      <c r="NFB3" t="s">
        <v>6650</v>
      </c>
      <c r="NFC3" t="s">
        <v>6651</v>
      </c>
      <c r="NFD3" t="s">
        <v>6652</v>
      </c>
      <c r="NFE3" t="s">
        <v>6653</v>
      </c>
      <c r="NFF3" t="s">
        <v>6654</v>
      </c>
      <c r="NFG3" t="s">
        <v>6655</v>
      </c>
      <c r="NFH3" t="s">
        <v>6656</v>
      </c>
      <c r="NFI3" t="s">
        <v>1503</v>
      </c>
      <c r="NFJ3" t="s">
        <v>282</v>
      </c>
      <c r="NFK3" t="s">
        <v>6657</v>
      </c>
      <c r="NFL3" t="s">
        <v>511</v>
      </c>
      <c r="NFM3" t="s">
        <v>6658</v>
      </c>
      <c r="NFN3" t="s">
        <v>6659</v>
      </c>
      <c r="NFO3" t="s">
        <v>255</v>
      </c>
      <c r="NFP3" t="s">
        <v>1352</v>
      </c>
      <c r="NFQ3" t="s">
        <v>6660</v>
      </c>
      <c r="NFR3" t="s">
        <v>6661</v>
      </c>
      <c r="NFS3" t="s">
        <v>4757</v>
      </c>
      <c r="NFT3" t="s">
        <v>6662</v>
      </c>
      <c r="NFU3" t="s">
        <v>6663</v>
      </c>
      <c r="NFV3" t="s">
        <v>6664</v>
      </c>
      <c r="NFW3" t="s">
        <v>6665</v>
      </c>
      <c r="NFX3" t="s">
        <v>6666</v>
      </c>
      <c r="NFY3" t="s">
        <v>6667</v>
      </c>
      <c r="NFZ3" t="s">
        <v>6668</v>
      </c>
      <c r="NGA3" t="s">
        <v>6669</v>
      </c>
      <c r="NGB3" t="s">
        <v>6670</v>
      </c>
      <c r="NGC3" t="s">
        <v>6671</v>
      </c>
      <c r="NGD3" t="s">
        <v>6672</v>
      </c>
      <c r="NGE3" t="s">
        <v>6673</v>
      </c>
      <c r="NGF3" t="s">
        <v>3426</v>
      </c>
      <c r="NGG3" t="s">
        <v>6674</v>
      </c>
      <c r="NGH3" t="s">
        <v>6675</v>
      </c>
      <c r="NGI3" t="s">
        <v>4517</v>
      </c>
      <c r="NGJ3" t="s">
        <v>4518</v>
      </c>
      <c r="NGK3" t="s">
        <v>6676</v>
      </c>
      <c r="NGL3" t="s">
        <v>4517</v>
      </c>
      <c r="NGM3" t="s">
        <v>282</v>
      </c>
      <c r="NGN3" t="s">
        <v>6677</v>
      </c>
      <c r="NGO3" t="s">
        <v>4518</v>
      </c>
      <c r="NGP3" t="s">
        <v>6678</v>
      </c>
      <c r="NGQ3" t="s">
        <v>6679</v>
      </c>
      <c r="NGR3" t="s">
        <v>6680</v>
      </c>
      <c r="NGS3" t="s">
        <v>6681</v>
      </c>
      <c r="NGT3" t="s">
        <v>6682</v>
      </c>
      <c r="NGU3" t="s">
        <v>6683</v>
      </c>
      <c r="NGV3" t="s">
        <v>6684</v>
      </c>
      <c r="NGW3" t="s">
        <v>6685</v>
      </c>
      <c r="NGX3" t="s">
        <v>6686</v>
      </c>
      <c r="NGY3" t="s">
        <v>6687</v>
      </c>
      <c r="NGZ3" t="s">
        <v>6688</v>
      </c>
      <c r="NHA3" t="s">
        <v>6689</v>
      </c>
      <c r="NHB3" t="s">
        <v>254</v>
      </c>
      <c r="NHC3" t="s">
        <v>6690</v>
      </c>
      <c r="NHD3" t="s">
        <v>6691</v>
      </c>
      <c r="NHE3" t="s">
        <v>6692</v>
      </c>
      <c r="NHF3" t="s">
        <v>6693</v>
      </c>
      <c r="NHG3" t="s">
        <v>282</v>
      </c>
      <c r="NHH3" t="s">
        <v>6597</v>
      </c>
      <c r="NHI3" t="s">
        <v>2867</v>
      </c>
      <c r="NHJ3" t="s">
        <v>6694</v>
      </c>
      <c r="NHK3" t="s">
        <v>6695</v>
      </c>
      <c r="NHL3" t="s">
        <v>6696</v>
      </c>
      <c r="NHM3" t="s">
        <v>6697</v>
      </c>
      <c r="NHN3" t="s">
        <v>44</v>
      </c>
      <c r="NHO3" t="s">
        <v>6698</v>
      </c>
      <c r="NHP3" t="s">
        <v>6699</v>
      </c>
      <c r="NHQ3" t="s">
        <v>6700</v>
      </c>
      <c r="NHR3" t="s">
        <v>1503</v>
      </c>
      <c r="NHS3" t="s">
        <v>511</v>
      </c>
      <c r="NHT3" t="s">
        <v>513</v>
      </c>
      <c r="NHU3" t="s">
        <v>6701</v>
      </c>
      <c r="NHV3" t="s">
        <v>6702</v>
      </c>
      <c r="NHW3" t="s">
        <v>6703</v>
      </c>
      <c r="NHX3" t="s">
        <v>6704</v>
      </c>
      <c r="NHY3" t="s">
        <v>44</v>
      </c>
      <c r="NHZ3" t="s">
        <v>125</v>
      </c>
      <c r="NIA3" t="s">
        <v>6705</v>
      </c>
      <c r="NIB3" t="s">
        <v>6706</v>
      </c>
      <c r="NIC3" t="s">
        <v>44</v>
      </c>
      <c r="NID3" t="s">
        <v>6707</v>
      </c>
      <c r="NIE3" t="s">
        <v>6706</v>
      </c>
      <c r="NIF3" t="s">
        <v>125</v>
      </c>
      <c r="NIG3" t="s">
        <v>6708</v>
      </c>
      <c r="NIH3" t="s">
        <v>6709</v>
      </c>
      <c r="NII3" t="s">
        <v>6710</v>
      </c>
      <c r="NIJ3" t="s">
        <v>6711</v>
      </c>
      <c r="NIK3" t="s">
        <v>44</v>
      </c>
      <c r="NIL3" t="s">
        <v>125</v>
      </c>
      <c r="NIM3" t="s">
        <v>6712</v>
      </c>
      <c r="NIN3" t="s">
        <v>6713</v>
      </c>
      <c r="NIO3" t="s">
        <v>1503</v>
      </c>
      <c r="NIP3" t="s">
        <v>6714</v>
      </c>
      <c r="NIQ3" t="s">
        <v>6715</v>
      </c>
      <c r="NIR3" t="s">
        <v>6037</v>
      </c>
      <c r="NIS3" t="s">
        <v>6716</v>
      </c>
      <c r="NIT3" t="s">
        <v>6717</v>
      </c>
      <c r="NIU3" t="s">
        <v>957</v>
      </c>
      <c r="NIV3" t="s">
        <v>6718</v>
      </c>
      <c r="NIW3" t="s">
        <v>49</v>
      </c>
      <c r="NIX3" t="s">
        <v>254</v>
      </c>
      <c r="NIY3" t="s">
        <v>896</v>
      </c>
      <c r="NIZ3" t="s">
        <v>310</v>
      </c>
      <c r="NJA3" t="s">
        <v>6719</v>
      </c>
      <c r="NJB3" t="s">
        <v>6720</v>
      </c>
      <c r="NJC3" t="s">
        <v>6721</v>
      </c>
      <c r="NJD3" t="s">
        <v>1308</v>
      </c>
      <c r="NJE3" t="s">
        <v>282</v>
      </c>
      <c r="NJF3" t="s">
        <v>6722</v>
      </c>
      <c r="NJG3" t="s">
        <v>1309</v>
      </c>
      <c r="NJH3" t="s">
        <v>6723</v>
      </c>
      <c r="NJI3" t="s">
        <v>6724</v>
      </c>
      <c r="NJJ3" t="s">
        <v>6725</v>
      </c>
      <c r="NJK3" t="s">
        <v>6726</v>
      </c>
      <c r="NJL3" t="s">
        <v>6727</v>
      </c>
      <c r="NJM3" t="s">
        <v>6728</v>
      </c>
      <c r="NJN3" t="s">
        <v>6729</v>
      </c>
      <c r="NJO3" t="s">
        <v>6730</v>
      </c>
      <c r="NJP3" t="s">
        <v>6731</v>
      </c>
      <c r="NJQ3" t="s">
        <v>6732</v>
      </c>
      <c r="NJR3" t="s">
        <v>6733</v>
      </c>
      <c r="NJS3" t="s">
        <v>6734</v>
      </c>
      <c r="NJT3" t="s">
        <v>6733</v>
      </c>
      <c r="NJU3" t="s">
        <v>6734</v>
      </c>
      <c r="NJV3" t="s">
        <v>6735</v>
      </c>
      <c r="NJW3" t="s">
        <v>6736</v>
      </c>
      <c r="NJX3" t="s">
        <v>6155</v>
      </c>
      <c r="NJY3" t="s">
        <v>6737</v>
      </c>
      <c r="NJZ3" t="s">
        <v>6155</v>
      </c>
      <c r="NKA3" t="s">
        <v>6738</v>
      </c>
      <c r="NKB3" t="s">
        <v>1345</v>
      </c>
      <c r="NKC3" t="s">
        <v>6739</v>
      </c>
      <c r="NKD3" t="s">
        <v>1345</v>
      </c>
      <c r="NKE3" t="s">
        <v>6740</v>
      </c>
      <c r="NKF3" t="s">
        <v>6741</v>
      </c>
      <c r="NKG3" t="s">
        <v>6742</v>
      </c>
      <c r="NKH3" t="s">
        <v>6743</v>
      </c>
      <c r="NKI3" t="s">
        <v>6744</v>
      </c>
      <c r="NKJ3" t="s">
        <v>6745</v>
      </c>
      <c r="NKK3" t="s">
        <v>6746</v>
      </c>
      <c r="NKL3" t="s">
        <v>6747</v>
      </c>
      <c r="NKM3" t="s">
        <v>6748</v>
      </c>
      <c r="NKN3" t="s">
        <v>6749</v>
      </c>
      <c r="NKO3" t="s">
        <v>6750</v>
      </c>
      <c r="NKP3" t="s">
        <v>6751</v>
      </c>
      <c r="NKQ3" t="s">
        <v>6752</v>
      </c>
      <c r="NKR3" t="s">
        <v>6753</v>
      </c>
      <c r="NKS3" t="s">
        <v>6754</v>
      </c>
      <c r="NKT3" t="s">
        <v>6755</v>
      </c>
      <c r="NKU3" t="s">
        <v>6756</v>
      </c>
      <c r="NKV3" t="s">
        <v>6757</v>
      </c>
      <c r="NKW3" t="s">
        <v>6758</v>
      </c>
      <c r="NKX3" t="s">
        <v>6759</v>
      </c>
      <c r="NKY3" t="s">
        <v>6760</v>
      </c>
      <c r="NKZ3" t="s">
        <v>6761</v>
      </c>
      <c r="NLA3" t="s">
        <v>6762</v>
      </c>
      <c r="NLB3" t="s">
        <v>6763</v>
      </c>
      <c r="NLC3" t="s">
        <v>6764</v>
      </c>
      <c r="NLD3" t="s">
        <v>515</v>
      </c>
      <c r="NLE3" t="s">
        <v>6765</v>
      </c>
      <c r="NLF3" t="s">
        <v>2543</v>
      </c>
      <c r="NLG3" t="s">
        <v>6766</v>
      </c>
      <c r="NLH3" t="s">
        <v>3389</v>
      </c>
      <c r="NLI3" t="s">
        <v>6767</v>
      </c>
      <c r="NLJ3" t="s">
        <v>6768</v>
      </c>
      <c r="NLK3" t="s">
        <v>6741</v>
      </c>
      <c r="NLL3" t="s">
        <v>6742</v>
      </c>
      <c r="NLM3" t="s">
        <v>6743</v>
      </c>
      <c r="NLN3" t="s">
        <v>6744</v>
      </c>
      <c r="NLO3" t="s">
        <v>6745</v>
      </c>
      <c r="NLP3" t="s">
        <v>6769</v>
      </c>
      <c r="NLQ3" t="s">
        <v>289</v>
      </c>
      <c r="NLR3" t="s">
        <v>6770</v>
      </c>
      <c r="NLS3" t="s">
        <v>6771</v>
      </c>
      <c r="NLT3" t="s">
        <v>6620</v>
      </c>
      <c r="NLU3" t="s">
        <v>6772</v>
      </c>
      <c r="NLV3" t="s">
        <v>6773</v>
      </c>
      <c r="NLW3" t="s">
        <v>6774</v>
      </c>
      <c r="NLX3" t="s">
        <v>6775</v>
      </c>
      <c r="NLY3" t="s">
        <v>6776</v>
      </c>
      <c r="NLZ3" t="s">
        <v>6777</v>
      </c>
      <c r="NMA3" t="s">
        <v>850</v>
      </c>
      <c r="NMB3" t="s">
        <v>6778</v>
      </c>
      <c r="NMC3" t="s">
        <v>5798</v>
      </c>
      <c r="NMD3" t="s">
        <v>6779</v>
      </c>
      <c r="NME3" t="s">
        <v>6780</v>
      </c>
      <c r="NMF3" t="s">
        <v>6781</v>
      </c>
      <c r="NMG3" t="s">
        <v>6782</v>
      </c>
      <c r="NMH3" t="s">
        <v>6781</v>
      </c>
      <c r="NMI3" t="s">
        <v>6783</v>
      </c>
      <c r="NMJ3" t="s">
        <v>6784</v>
      </c>
      <c r="NMK3" t="s">
        <v>6785</v>
      </c>
      <c r="NML3" t="s">
        <v>6786</v>
      </c>
      <c r="NMM3" t="s">
        <v>6787</v>
      </c>
      <c r="NMN3" t="s">
        <v>45</v>
      </c>
      <c r="NMO3" t="s">
        <v>46</v>
      </c>
      <c r="NMP3" t="s">
        <v>6788</v>
      </c>
      <c r="NMQ3" t="s">
        <v>6789</v>
      </c>
      <c r="NMR3" t="s">
        <v>6790</v>
      </c>
      <c r="NMS3" t="s">
        <v>6791</v>
      </c>
      <c r="NMT3" t="s">
        <v>2543</v>
      </c>
      <c r="NMU3" t="s">
        <v>6792</v>
      </c>
      <c r="NMV3" t="s">
        <v>6793</v>
      </c>
      <c r="NMW3" t="s">
        <v>6794</v>
      </c>
      <c r="NMX3" t="s">
        <v>6795</v>
      </c>
      <c r="NMY3" t="s">
        <v>6796</v>
      </c>
      <c r="NMZ3" t="s">
        <v>6797</v>
      </c>
      <c r="NNA3" t="s">
        <v>6798</v>
      </c>
      <c r="NNB3" t="s">
        <v>6799</v>
      </c>
      <c r="NNC3" t="s">
        <v>6800</v>
      </c>
      <c r="NND3" t="s">
        <v>44</v>
      </c>
      <c r="NNE3" t="s">
        <v>125</v>
      </c>
      <c r="NNF3" t="s">
        <v>126</v>
      </c>
      <c r="NNG3" t="s">
        <v>6801</v>
      </c>
      <c r="NNH3" t="s">
        <v>6802</v>
      </c>
      <c r="NNI3" t="s">
        <v>6803</v>
      </c>
      <c r="NNJ3" t="s">
        <v>6804</v>
      </c>
      <c r="NNK3" t="s">
        <v>6805</v>
      </c>
      <c r="NNL3" t="s">
        <v>6806</v>
      </c>
      <c r="NNM3" t="s">
        <v>6807</v>
      </c>
      <c r="NNN3" t="s">
        <v>6808</v>
      </c>
      <c r="NNO3" t="s">
        <v>6809</v>
      </c>
      <c r="NNP3" t="s">
        <v>6810</v>
      </c>
      <c r="NNQ3" t="s">
        <v>6811</v>
      </c>
      <c r="NNR3" t="s">
        <v>6812</v>
      </c>
      <c r="NNS3" t="s">
        <v>6813</v>
      </c>
      <c r="NNT3" t="s">
        <v>6814</v>
      </c>
      <c r="NNU3" t="s">
        <v>6815</v>
      </c>
      <c r="NNV3" t="s">
        <v>6816</v>
      </c>
      <c r="NNW3" t="s">
        <v>6817</v>
      </c>
      <c r="NNX3" t="s">
        <v>6818</v>
      </c>
      <c r="NNY3" t="s">
        <v>6819</v>
      </c>
      <c r="NNZ3" t="s">
        <v>6820</v>
      </c>
      <c r="NOA3" t="s">
        <v>2121</v>
      </c>
      <c r="NOB3" t="s">
        <v>2123</v>
      </c>
      <c r="NOC3" t="s">
        <v>2124</v>
      </c>
      <c r="NOD3" t="s">
        <v>6821</v>
      </c>
      <c r="NOE3" t="s">
        <v>2860</v>
      </c>
      <c r="NOF3" t="s">
        <v>6822</v>
      </c>
      <c r="NOG3" t="s">
        <v>6823</v>
      </c>
      <c r="NOH3" t="s">
        <v>6824</v>
      </c>
      <c r="NOI3" t="s">
        <v>6825</v>
      </c>
      <c r="NOJ3" t="s">
        <v>6826</v>
      </c>
      <c r="NOK3" t="e">
        <f>+B</f>
        <v>#NAME?</v>
      </c>
      <c r="NOL3" t="s">
        <v>6827</v>
      </c>
      <c r="NOM3" t="s">
        <v>6828</v>
      </c>
      <c r="NON3" t="s">
        <v>6829</v>
      </c>
      <c r="NOO3" t="s">
        <v>6830</v>
      </c>
      <c r="NOP3" t="s">
        <v>6831</v>
      </c>
      <c r="NOQ3" t="s">
        <v>1694</v>
      </c>
      <c r="NOR3" t="s">
        <v>513</v>
      </c>
      <c r="NOS3" t="s">
        <v>6832</v>
      </c>
      <c r="NOT3" t="s">
        <v>6833</v>
      </c>
      <c r="NOU3" t="s">
        <v>6834</v>
      </c>
      <c r="NOV3" t="s">
        <v>6835</v>
      </c>
      <c r="NOW3">
        <v>0</v>
      </c>
      <c r="NOX3">
        <v>0</v>
      </c>
      <c r="NOY3" t="s">
        <v>1797</v>
      </c>
      <c r="NOZ3" t="s">
        <v>6836</v>
      </c>
      <c r="NPA3" t="s">
        <v>6837</v>
      </c>
      <c r="NPB3" t="s">
        <v>6838</v>
      </c>
      <c r="NPC3" t="s">
        <v>6839</v>
      </c>
      <c r="NPD3" t="s">
        <v>6840</v>
      </c>
      <c r="NPE3" t="s">
        <v>6841</v>
      </c>
      <c r="NPF3" t="s">
        <v>6842</v>
      </c>
      <c r="NPG3" t="s">
        <v>6843</v>
      </c>
      <c r="NPH3" t="s">
        <v>6844</v>
      </c>
      <c r="NPI3" t="s">
        <v>6845</v>
      </c>
      <c r="NPJ3" t="s">
        <v>6846</v>
      </c>
      <c r="NPK3" t="s">
        <v>6847</v>
      </c>
      <c r="NPL3" t="s">
        <v>6848</v>
      </c>
      <c r="NPM3" t="s">
        <v>6849</v>
      </c>
      <c r="NPN3" t="s">
        <v>6850</v>
      </c>
      <c r="NPO3" t="s">
        <v>6846</v>
      </c>
      <c r="NPP3" t="s">
        <v>2033</v>
      </c>
      <c r="NPQ3" t="s">
        <v>6851</v>
      </c>
      <c r="NPR3" t="s">
        <v>6852</v>
      </c>
      <c r="NPS3" t="s">
        <v>6853</v>
      </c>
      <c r="NPT3" t="s">
        <v>6854</v>
      </c>
      <c r="NPU3" t="s">
        <v>6855</v>
      </c>
      <c r="NPV3" t="s">
        <v>6856</v>
      </c>
      <c r="NPW3" t="s">
        <v>6857</v>
      </c>
      <c r="NPX3" t="s">
        <v>6858</v>
      </c>
      <c r="NPY3" t="s">
        <v>6859</v>
      </c>
      <c r="NPZ3" t="s">
        <v>255</v>
      </c>
      <c r="NQA3" t="s">
        <v>44</v>
      </c>
      <c r="NQB3" t="s">
        <v>6860</v>
      </c>
      <c r="NQC3" t="s">
        <v>2981</v>
      </c>
      <c r="NQD3" t="s">
        <v>6861</v>
      </c>
      <c r="NQE3" t="s">
        <v>6862</v>
      </c>
      <c r="NQF3" t="s">
        <v>6585</v>
      </c>
      <c r="NQG3" t="s">
        <v>1694</v>
      </c>
      <c r="NQH3" t="s">
        <v>6863</v>
      </c>
      <c r="NQI3" t="s">
        <v>6864</v>
      </c>
      <c r="NQJ3" t="s">
        <v>6865</v>
      </c>
      <c r="NQK3" t="s">
        <v>6866</v>
      </c>
      <c r="NQL3" t="s">
        <v>6867</v>
      </c>
      <c r="NQM3" t="s">
        <v>6868</v>
      </c>
      <c r="NQN3" t="s">
        <v>6869</v>
      </c>
      <c r="NQO3" t="s">
        <v>6870</v>
      </c>
      <c r="NQP3" t="s">
        <v>6871</v>
      </c>
      <c r="NQQ3" t="s">
        <v>6872</v>
      </c>
      <c r="NQR3" t="s">
        <v>1503</v>
      </c>
      <c r="NQS3" t="s">
        <v>6873</v>
      </c>
      <c r="NQT3" t="s">
        <v>6874</v>
      </c>
      <c r="NQU3" t="s">
        <v>6875</v>
      </c>
      <c r="NQV3" t="s">
        <v>6876</v>
      </c>
      <c r="NQW3" t="s">
        <v>6877</v>
      </c>
      <c r="NQX3" t="s">
        <v>6878</v>
      </c>
      <c r="NQY3" t="s">
        <v>6879</v>
      </c>
      <c r="NQZ3" t="s">
        <v>6880</v>
      </c>
      <c r="NRA3" t="s">
        <v>6881</v>
      </c>
      <c r="NRB3" t="s">
        <v>6882</v>
      </c>
      <c r="NRC3" t="s">
        <v>6883</v>
      </c>
      <c r="NRD3" t="s">
        <v>6884</v>
      </c>
      <c r="NRE3" t="s">
        <v>6885</v>
      </c>
      <c r="NRF3" t="s">
        <v>6886</v>
      </c>
      <c r="NRG3" t="s">
        <v>6887</v>
      </c>
      <c r="NRH3" t="s">
        <v>6886</v>
      </c>
      <c r="NRI3" t="s">
        <v>6888</v>
      </c>
      <c r="NRJ3" t="s">
        <v>6887</v>
      </c>
      <c r="NRK3" t="s">
        <v>6889</v>
      </c>
      <c r="NRL3" t="s">
        <v>6890</v>
      </c>
      <c r="NRM3" t="s">
        <v>6886</v>
      </c>
      <c r="NRN3" t="s">
        <v>6890</v>
      </c>
      <c r="NRO3" t="s">
        <v>6886</v>
      </c>
      <c r="NRP3" t="s">
        <v>6891</v>
      </c>
      <c r="NRQ3" t="s">
        <v>6892</v>
      </c>
      <c r="NRR3" t="s">
        <v>6893</v>
      </c>
      <c r="NRS3" t="s">
        <v>6892</v>
      </c>
      <c r="NRT3" t="s">
        <v>6894</v>
      </c>
      <c r="NRU3" t="s">
        <v>1470</v>
      </c>
      <c r="NRV3" t="s">
        <v>6895</v>
      </c>
      <c r="NRW3" t="s">
        <v>1470</v>
      </c>
      <c r="NRX3" t="s">
        <v>6896</v>
      </c>
      <c r="NRY3" t="s">
        <v>6897</v>
      </c>
      <c r="NRZ3" t="s">
        <v>6898</v>
      </c>
      <c r="NSA3" t="s">
        <v>6899</v>
      </c>
      <c r="NSB3" t="s">
        <v>6900</v>
      </c>
      <c r="NSC3" t="s">
        <v>6901</v>
      </c>
      <c r="NSD3" t="s">
        <v>6161</v>
      </c>
      <c r="NSE3" t="s">
        <v>6902</v>
      </c>
      <c r="NSF3" t="s">
        <v>6903</v>
      </c>
      <c r="NSG3" t="s">
        <v>6900</v>
      </c>
      <c r="NSH3" t="s">
        <v>6901</v>
      </c>
      <c r="NSI3" t="s">
        <v>6161</v>
      </c>
      <c r="NSJ3" t="s">
        <v>6901</v>
      </c>
      <c r="NSK3" t="s">
        <v>6161</v>
      </c>
      <c r="NSL3" t="s">
        <v>6904</v>
      </c>
      <c r="NSM3" t="s">
        <v>1470</v>
      </c>
      <c r="NSN3" t="s">
        <v>6905</v>
      </c>
      <c r="NSO3" t="s">
        <v>1470</v>
      </c>
      <c r="NSP3" t="s">
        <v>6906</v>
      </c>
      <c r="NSQ3" t="s">
        <v>6907</v>
      </c>
      <c r="NSR3" t="s">
        <v>6908</v>
      </c>
      <c r="NSS3" t="s">
        <v>6907</v>
      </c>
      <c r="NST3" t="s">
        <v>6896</v>
      </c>
      <c r="NSU3" t="s">
        <v>6909</v>
      </c>
      <c r="NSV3" t="s">
        <v>6910</v>
      </c>
      <c r="NSW3" t="s">
        <v>6911</v>
      </c>
      <c r="NSX3" t="s">
        <v>6889</v>
      </c>
      <c r="NSY3" t="s">
        <v>6903</v>
      </c>
      <c r="NSZ3" t="s">
        <v>6886</v>
      </c>
      <c r="NTA3" t="s">
        <v>6912</v>
      </c>
      <c r="NTB3" t="s">
        <v>6903</v>
      </c>
      <c r="NTC3" t="s">
        <v>6889</v>
      </c>
      <c r="NTD3" t="s">
        <v>6901</v>
      </c>
      <c r="NTE3" t="s">
        <v>6886</v>
      </c>
      <c r="NTF3" t="s">
        <v>6901</v>
      </c>
      <c r="NTG3" t="s">
        <v>6886</v>
      </c>
      <c r="NTH3" t="s">
        <v>6913</v>
      </c>
      <c r="NTI3" t="s">
        <v>6892</v>
      </c>
      <c r="NTJ3" t="s">
        <v>6914</v>
      </c>
      <c r="NTK3" t="s">
        <v>6892</v>
      </c>
      <c r="NTL3" t="s">
        <v>6915</v>
      </c>
      <c r="NTM3" t="s">
        <v>6907</v>
      </c>
      <c r="NTN3" t="s">
        <v>6916</v>
      </c>
      <c r="NTO3" t="s">
        <v>6907</v>
      </c>
      <c r="NTP3" t="s">
        <v>6896</v>
      </c>
      <c r="NTQ3" t="s">
        <v>2033</v>
      </c>
      <c r="NTR3" t="s">
        <v>6917</v>
      </c>
      <c r="NTS3" t="s">
        <v>6918</v>
      </c>
      <c r="NTT3" t="s">
        <v>6919</v>
      </c>
      <c r="NTU3" t="s">
        <v>2123</v>
      </c>
      <c r="NTV3" t="s">
        <v>6920</v>
      </c>
      <c r="NTW3" t="s">
        <v>6921</v>
      </c>
      <c r="NTX3" t="s">
        <v>6922</v>
      </c>
      <c r="NTY3" t="s">
        <v>6923</v>
      </c>
      <c r="NTZ3" t="s">
        <v>6924</v>
      </c>
      <c r="NUA3" t="s">
        <v>6925</v>
      </c>
      <c r="NUB3" t="s">
        <v>6926</v>
      </c>
      <c r="NUC3" t="s">
        <v>513</v>
      </c>
      <c r="NUD3" t="s">
        <v>6927</v>
      </c>
      <c r="NUE3" t="s">
        <v>6928</v>
      </c>
      <c r="NUF3" t="s">
        <v>6929</v>
      </c>
      <c r="NUG3" t="s">
        <v>6930</v>
      </c>
      <c r="NUH3" t="s">
        <v>1685</v>
      </c>
      <c r="NUI3" t="s">
        <v>6820</v>
      </c>
      <c r="NUJ3" t="s">
        <v>6931</v>
      </c>
      <c r="NUK3" t="s">
        <v>513</v>
      </c>
      <c r="NUL3" t="s">
        <v>6932</v>
      </c>
      <c r="NUM3" t="s">
        <v>6933</v>
      </c>
      <c r="NUN3" t="s">
        <v>6934</v>
      </c>
      <c r="NUO3" t="s">
        <v>6935</v>
      </c>
      <c r="NUP3" t="s">
        <v>6936</v>
      </c>
      <c r="NUQ3" t="s">
        <v>6937</v>
      </c>
      <c r="NUR3" t="s">
        <v>6938</v>
      </c>
      <c r="NUS3" t="s">
        <v>6939</v>
      </c>
      <c r="NUT3" t="s">
        <v>6940</v>
      </c>
      <c r="NUU3" t="s">
        <v>6941</v>
      </c>
      <c r="NUV3" t="s">
        <v>6942</v>
      </c>
      <c r="NUW3" t="s">
        <v>6943</v>
      </c>
      <c r="NUX3" t="s">
        <v>2543</v>
      </c>
      <c r="NUY3" t="s">
        <v>5594</v>
      </c>
      <c r="NUZ3" t="s">
        <v>6944</v>
      </c>
      <c r="NVA3" t="s">
        <v>6945</v>
      </c>
      <c r="NVB3" t="s">
        <v>6946</v>
      </c>
      <c r="NVC3" t="s">
        <v>6947</v>
      </c>
      <c r="NVD3" t="s">
        <v>6948</v>
      </c>
      <c r="NVE3" t="s">
        <v>6949</v>
      </c>
      <c r="NVF3" t="s">
        <v>6950</v>
      </c>
      <c r="NVG3" t="s">
        <v>6951</v>
      </c>
      <c r="NVH3" t="s">
        <v>6952</v>
      </c>
      <c r="NVI3" t="s">
        <v>6953</v>
      </c>
      <c r="NVJ3" t="s">
        <v>6954</v>
      </c>
      <c r="NVK3" t="s">
        <v>6955</v>
      </c>
      <c r="NVL3" t="s">
        <v>6956</v>
      </c>
      <c r="NVM3" t="s">
        <v>6957</v>
      </c>
      <c r="NVN3" t="s">
        <v>6958</v>
      </c>
      <c r="NVO3" t="s">
        <v>6959</v>
      </c>
      <c r="NVP3" t="s">
        <v>6585</v>
      </c>
      <c r="NVQ3" t="s">
        <v>1694</v>
      </c>
      <c r="NVR3" t="s">
        <v>6960</v>
      </c>
      <c r="NVS3" t="s">
        <v>1694</v>
      </c>
      <c r="NVT3" t="s">
        <v>6856</v>
      </c>
      <c r="NVU3" t="s">
        <v>6857</v>
      </c>
      <c r="NVV3" t="s">
        <v>6961</v>
      </c>
      <c r="NVW3" t="s">
        <v>126</v>
      </c>
      <c r="NVX3" t="s">
        <v>2896</v>
      </c>
      <c r="NVY3" t="s">
        <v>6962</v>
      </c>
      <c r="NVZ3" t="s">
        <v>6963</v>
      </c>
      <c r="NWA3" t="s">
        <v>44</v>
      </c>
      <c r="NWB3" t="s">
        <v>6964</v>
      </c>
      <c r="NWC3" t="s">
        <v>6965</v>
      </c>
      <c r="NWD3" t="s">
        <v>6966</v>
      </c>
      <c r="NWE3" t="s">
        <v>6967</v>
      </c>
      <c r="NWF3" t="s">
        <v>6968</v>
      </c>
      <c r="NWG3" t="s">
        <v>6969</v>
      </c>
      <c r="NWH3" t="s">
        <v>6970</v>
      </c>
      <c r="NWI3" t="s">
        <v>6971</v>
      </c>
      <c r="NWJ3" t="s">
        <v>6972</v>
      </c>
      <c r="NWK3" t="s">
        <v>319</v>
      </c>
      <c r="NWL3" t="s">
        <v>6973</v>
      </c>
      <c r="NWM3" t="s">
        <v>6974</v>
      </c>
      <c r="NWN3" t="s">
        <v>6975</v>
      </c>
      <c r="NWO3" t="s">
        <v>6976</v>
      </c>
      <c r="NWP3" t="s">
        <v>6977</v>
      </c>
      <c r="NWQ3" t="s">
        <v>6978</v>
      </c>
      <c r="NWR3" t="s">
        <v>6979</v>
      </c>
      <c r="NWS3" t="s">
        <v>44</v>
      </c>
      <c r="NWT3" t="s">
        <v>6254</v>
      </c>
      <c r="NWU3" t="s">
        <v>131</v>
      </c>
      <c r="NWV3" t="s">
        <v>6980</v>
      </c>
      <c r="NWW3" t="s">
        <v>6981</v>
      </c>
      <c r="NWX3" t="s">
        <v>6982</v>
      </c>
      <c r="NWY3" t="s">
        <v>6983</v>
      </c>
      <c r="NWZ3" t="s">
        <v>6984</v>
      </c>
      <c r="NXA3" t="s">
        <v>6985</v>
      </c>
      <c r="NXB3" t="s">
        <v>6986</v>
      </c>
      <c r="NXC3" t="s">
        <v>6987</v>
      </c>
      <c r="NXD3" t="s">
        <v>6988</v>
      </c>
      <c r="NXE3" t="s">
        <v>6989</v>
      </c>
      <c r="NXF3" t="s">
        <v>6990</v>
      </c>
      <c r="NXG3" t="s">
        <v>6991</v>
      </c>
      <c r="NXH3" t="s">
        <v>824</v>
      </c>
      <c r="NXI3" t="s">
        <v>6992</v>
      </c>
      <c r="NXJ3" t="s">
        <v>6993</v>
      </c>
      <c r="NXK3" t="s">
        <v>6994</v>
      </c>
      <c r="NXL3" t="s">
        <v>6990</v>
      </c>
      <c r="NXM3" t="s">
        <v>6995</v>
      </c>
      <c r="NXN3" t="s">
        <v>6996</v>
      </c>
      <c r="NXO3" t="s">
        <v>6990</v>
      </c>
      <c r="NXP3" t="s">
        <v>6997</v>
      </c>
      <c r="NXQ3" t="s">
        <v>6998</v>
      </c>
      <c r="NXR3" t="s">
        <v>6990</v>
      </c>
      <c r="NXS3" t="s">
        <v>6999</v>
      </c>
      <c r="NXT3" t="s">
        <v>6992</v>
      </c>
      <c r="NXU3" t="s">
        <v>7000</v>
      </c>
      <c r="NXV3" t="s">
        <v>7001</v>
      </c>
      <c r="NXW3" t="s">
        <v>6990</v>
      </c>
      <c r="NXX3" t="s">
        <v>7002</v>
      </c>
      <c r="NXY3" t="s">
        <v>7003</v>
      </c>
      <c r="NXZ3" t="s">
        <v>6990</v>
      </c>
      <c r="NYA3" t="s">
        <v>2477</v>
      </c>
      <c r="NYB3" t="s">
        <v>7004</v>
      </c>
      <c r="NYC3" t="s">
        <v>390</v>
      </c>
      <c r="NYD3" t="s">
        <v>2030</v>
      </c>
      <c r="NYE3" t="s">
        <v>7005</v>
      </c>
      <c r="NYF3" t="s">
        <v>6992</v>
      </c>
      <c r="NYG3" t="s">
        <v>3979</v>
      </c>
      <c r="NYH3" t="s">
        <v>3980</v>
      </c>
      <c r="NYI3" t="s">
        <v>7006</v>
      </c>
      <c r="NYJ3" t="s">
        <v>7007</v>
      </c>
      <c r="NYK3" t="s">
        <v>3982</v>
      </c>
      <c r="NYL3" t="s">
        <v>3977</v>
      </c>
      <c r="NYM3" t="s">
        <v>7008</v>
      </c>
      <c r="NYN3" t="s">
        <v>6265</v>
      </c>
      <c r="NYO3" t="s">
        <v>186</v>
      </c>
      <c r="NYP3" t="s">
        <v>7009</v>
      </c>
      <c r="NYQ3" t="s">
        <v>7010</v>
      </c>
      <c r="NYR3" t="s">
        <v>7011</v>
      </c>
      <c r="NYS3" t="s">
        <v>7012</v>
      </c>
      <c r="NYT3" t="s">
        <v>6992</v>
      </c>
      <c r="NYU3" t="s">
        <v>7013</v>
      </c>
      <c r="NYV3" t="s">
        <v>6992</v>
      </c>
      <c r="NYW3" t="s">
        <v>7014</v>
      </c>
      <c r="NYX3" t="s">
        <v>6992</v>
      </c>
      <c r="NYY3" t="s">
        <v>7015</v>
      </c>
      <c r="NYZ3" t="s">
        <v>6992</v>
      </c>
      <c r="NZA3" t="s">
        <v>7016</v>
      </c>
      <c r="NZB3" t="s">
        <v>2489</v>
      </c>
      <c r="NZC3" t="s">
        <v>3808</v>
      </c>
      <c r="NZD3" t="s">
        <v>1442</v>
      </c>
      <c r="NZE3" t="s">
        <v>828</v>
      </c>
      <c r="NZF3" t="s">
        <v>7017</v>
      </c>
      <c r="NZG3" t="s">
        <v>2489</v>
      </c>
      <c r="NZH3" t="s">
        <v>3808</v>
      </c>
      <c r="NZI3" t="s">
        <v>1442</v>
      </c>
      <c r="NZJ3" t="s">
        <v>828</v>
      </c>
      <c r="NZK3" t="s">
        <v>7018</v>
      </c>
      <c r="NZL3" t="s">
        <v>6267</v>
      </c>
      <c r="NZM3" t="s">
        <v>186</v>
      </c>
      <c r="NZN3" t="s">
        <v>7019</v>
      </c>
      <c r="NZO3" t="s">
        <v>7010</v>
      </c>
      <c r="NZP3" t="s">
        <v>7011</v>
      </c>
      <c r="NZQ3" t="s">
        <v>7012</v>
      </c>
      <c r="NZR3" t="s">
        <v>6992</v>
      </c>
      <c r="NZS3" t="s">
        <v>7020</v>
      </c>
      <c r="NZT3" t="s">
        <v>6992</v>
      </c>
      <c r="NZU3" t="s">
        <v>7021</v>
      </c>
      <c r="NZV3" t="s">
        <v>6992</v>
      </c>
      <c r="NZW3" t="s">
        <v>7022</v>
      </c>
      <c r="NZX3" t="s">
        <v>6992</v>
      </c>
      <c r="NZY3" t="s">
        <v>7023</v>
      </c>
      <c r="NZZ3" t="s">
        <v>2489</v>
      </c>
      <c r="OAA3" t="s">
        <v>3808</v>
      </c>
      <c r="OAB3" t="s">
        <v>1442</v>
      </c>
      <c r="OAC3" t="s">
        <v>828</v>
      </c>
      <c r="OAD3" t="s">
        <v>7024</v>
      </c>
      <c r="OAE3" t="s">
        <v>2489</v>
      </c>
      <c r="OAF3" t="s">
        <v>3808</v>
      </c>
      <c r="OAG3" t="s">
        <v>1442</v>
      </c>
      <c r="OAH3" t="s">
        <v>828</v>
      </c>
      <c r="OAI3" t="s">
        <v>6272</v>
      </c>
      <c r="OAJ3" t="s">
        <v>6992</v>
      </c>
      <c r="OAK3" t="s">
        <v>3990</v>
      </c>
      <c r="OAL3" t="s">
        <v>142</v>
      </c>
      <c r="OAM3" t="s">
        <v>1442</v>
      </c>
      <c r="OAN3" t="s">
        <v>3991</v>
      </c>
      <c r="OAO3" t="s">
        <v>3977</v>
      </c>
      <c r="OAP3" t="s">
        <v>7025</v>
      </c>
      <c r="OAQ3" t="s">
        <v>7026</v>
      </c>
      <c r="OAR3" t="s">
        <v>7027</v>
      </c>
      <c r="OAS3" t="s">
        <v>7028</v>
      </c>
      <c r="OAT3" t="s">
        <v>7029</v>
      </c>
      <c r="OAU3" t="s">
        <v>6990</v>
      </c>
      <c r="OAV3" t="s">
        <v>7030</v>
      </c>
      <c r="OAW3" t="s">
        <v>1503</v>
      </c>
      <c r="OAX3" t="s">
        <v>7027</v>
      </c>
      <c r="OAY3" t="s">
        <v>6992</v>
      </c>
      <c r="OAZ3" t="s">
        <v>7031</v>
      </c>
      <c r="OBA3" t="s">
        <v>173</v>
      </c>
      <c r="OBB3">
        <v>0</v>
      </c>
      <c r="OBC3">
        <v>0</v>
      </c>
      <c r="OBD3" t="s">
        <v>1797</v>
      </c>
      <c r="OBE3" t="s">
        <v>3977</v>
      </c>
      <c r="OBF3" t="s">
        <v>7032</v>
      </c>
      <c r="OBG3" t="s">
        <v>7033</v>
      </c>
      <c r="OBH3" t="s">
        <v>7034</v>
      </c>
      <c r="OBI3" t="s">
        <v>7035</v>
      </c>
      <c r="OBJ3" t="s">
        <v>3977</v>
      </c>
      <c r="OBK3" t="s">
        <v>7036</v>
      </c>
      <c r="OBL3" t="s">
        <v>824</v>
      </c>
      <c r="OBM3" t="s">
        <v>6992</v>
      </c>
      <c r="OBN3" t="s">
        <v>7037</v>
      </c>
      <c r="OBO3" t="s">
        <v>1430</v>
      </c>
      <c r="OBP3" t="s">
        <v>3977</v>
      </c>
      <c r="OBQ3" t="s">
        <v>7038</v>
      </c>
      <c r="OBR3" t="s">
        <v>7039</v>
      </c>
      <c r="OBS3" t="s">
        <v>7040</v>
      </c>
      <c r="OBT3" t="s">
        <v>7041</v>
      </c>
      <c r="OBU3" t="s">
        <v>7042</v>
      </c>
      <c r="OBV3" t="s">
        <v>7043</v>
      </c>
      <c r="OBW3" t="s">
        <v>4169</v>
      </c>
      <c r="OBX3" t="s">
        <v>7044</v>
      </c>
      <c r="OBY3" t="s">
        <v>7045</v>
      </c>
      <c r="OBZ3" t="s">
        <v>7046</v>
      </c>
      <c r="OCA3" t="s">
        <v>7047</v>
      </c>
      <c r="OCB3" t="s">
        <v>7048</v>
      </c>
      <c r="OCC3" t="s">
        <v>7049</v>
      </c>
      <c r="OCD3" t="s">
        <v>7050</v>
      </c>
      <c r="OCE3" t="s">
        <v>7051</v>
      </c>
      <c r="OCF3" t="s">
        <v>164</v>
      </c>
      <c r="OCG3" t="s">
        <v>7052</v>
      </c>
      <c r="OCH3" t="s">
        <v>3977</v>
      </c>
      <c r="OCI3" t="s">
        <v>7053</v>
      </c>
      <c r="OCJ3" t="s">
        <v>3819</v>
      </c>
      <c r="OCK3" t="s">
        <v>6992</v>
      </c>
      <c r="OCL3" t="s">
        <v>154</v>
      </c>
      <c r="OCM3" t="s">
        <v>4161</v>
      </c>
      <c r="OCN3" t="s">
        <v>4162</v>
      </c>
      <c r="OCO3" t="s">
        <v>156</v>
      </c>
      <c r="OCP3" t="s">
        <v>3883</v>
      </c>
      <c r="OCQ3" t="s">
        <v>3819</v>
      </c>
      <c r="OCR3" t="s">
        <v>6992</v>
      </c>
      <c r="OCS3" t="s">
        <v>162</v>
      </c>
      <c r="OCT3" t="s">
        <v>163</v>
      </c>
      <c r="OCU3" t="s">
        <v>164</v>
      </c>
      <c r="OCV3" t="s">
        <v>226</v>
      </c>
      <c r="OCW3" t="s">
        <v>6992</v>
      </c>
      <c r="OCX3" t="s">
        <v>7054</v>
      </c>
      <c r="OCY3" t="s">
        <v>7055</v>
      </c>
      <c r="OCZ3" t="s">
        <v>142</v>
      </c>
      <c r="ODA3" t="s">
        <v>3977</v>
      </c>
      <c r="ODB3" t="s">
        <v>3977</v>
      </c>
      <c r="ODC3" t="s">
        <v>3999</v>
      </c>
      <c r="ODD3" t="s">
        <v>7056</v>
      </c>
      <c r="ODE3" t="s">
        <v>44</v>
      </c>
      <c r="ODF3" t="s">
        <v>243</v>
      </c>
      <c r="ODG3" t="s">
        <v>4021</v>
      </c>
      <c r="ODH3" t="s">
        <v>7057</v>
      </c>
      <c r="ODI3" t="s">
        <v>7058</v>
      </c>
      <c r="ODJ3" t="s">
        <v>7059</v>
      </c>
      <c r="ODK3" t="s">
        <v>2821</v>
      </c>
      <c r="ODL3" t="s">
        <v>7060</v>
      </c>
      <c r="ODM3" t="s">
        <v>7061</v>
      </c>
      <c r="ODN3" t="s">
        <v>7062</v>
      </c>
      <c r="ODO3" t="s">
        <v>7063</v>
      </c>
      <c r="ODP3" t="s">
        <v>2822</v>
      </c>
      <c r="ODQ3" t="s">
        <v>7064</v>
      </c>
      <c r="ODR3" t="s">
        <v>7061</v>
      </c>
      <c r="ODS3" t="s">
        <v>7065</v>
      </c>
      <c r="ODT3" t="s">
        <v>44</v>
      </c>
      <c r="ODU3" t="s">
        <v>125</v>
      </c>
      <c r="ODV3" t="s">
        <v>46</v>
      </c>
      <c r="ODW3" t="s">
        <v>511</v>
      </c>
      <c r="ODX3" t="s">
        <v>7066</v>
      </c>
      <c r="ODY3" t="s">
        <v>7067</v>
      </c>
      <c r="ODZ3" t="s">
        <v>7068</v>
      </c>
      <c r="OEA3" t="s">
        <v>7069</v>
      </c>
      <c r="OEB3" t="s">
        <v>7070</v>
      </c>
      <c r="OEC3" t="s">
        <v>850</v>
      </c>
      <c r="OED3" t="s">
        <v>6201</v>
      </c>
      <c r="OEE3" t="s">
        <v>7071</v>
      </c>
      <c r="OEF3" t="s">
        <v>850</v>
      </c>
      <c r="OEG3" t="s">
        <v>6201</v>
      </c>
      <c r="OEH3" t="s">
        <v>7072</v>
      </c>
      <c r="OEI3" t="s">
        <v>7073</v>
      </c>
      <c r="OEJ3" t="s">
        <v>7074</v>
      </c>
      <c r="OEK3" t="s">
        <v>7075</v>
      </c>
      <c r="OEL3" t="s">
        <v>44</v>
      </c>
      <c r="OEM3" t="s">
        <v>429</v>
      </c>
      <c r="OEN3" t="s">
        <v>46</v>
      </c>
      <c r="OEO3" t="s">
        <v>7076</v>
      </c>
      <c r="OEP3" t="s">
        <v>7077</v>
      </c>
      <c r="OEQ3" t="s">
        <v>6223</v>
      </c>
      <c r="OER3" t="s">
        <v>2192</v>
      </c>
      <c r="OES3" t="s">
        <v>7078</v>
      </c>
      <c r="OET3" t="s">
        <v>7079</v>
      </c>
      <c r="OEU3" t="s">
        <v>7080</v>
      </c>
      <c r="OEV3" t="s">
        <v>7081</v>
      </c>
      <c r="OEW3" t="s">
        <v>7082</v>
      </c>
      <c r="OEX3" t="s">
        <v>7083</v>
      </c>
      <c r="OEY3" t="s">
        <v>7084</v>
      </c>
      <c r="OEZ3" t="s">
        <v>1308</v>
      </c>
      <c r="OFA3" t="s">
        <v>1309</v>
      </c>
      <c r="OFB3" t="s">
        <v>1310</v>
      </c>
      <c r="OFC3" t="s">
        <v>7085</v>
      </c>
      <c r="OFD3" t="s">
        <v>7086</v>
      </c>
      <c r="OFE3" t="s">
        <v>7087</v>
      </c>
      <c r="OFF3" t="s">
        <v>7088</v>
      </c>
      <c r="OFG3" t="s">
        <v>7089</v>
      </c>
      <c r="OFH3" t="s">
        <v>7090</v>
      </c>
      <c r="OFI3" t="s">
        <v>7091</v>
      </c>
      <c r="OFJ3" t="s">
        <v>896</v>
      </c>
      <c r="OFK3" t="s">
        <v>7092</v>
      </c>
      <c r="OFL3" t="s">
        <v>7093</v>
      </c>
      <c r="OFM3" t="s">
        <v>7094</v>
      </c>
      <c r="OFN3" t="s">
        <v>310</v>
      </c>
      <c r="OFO3" t="s">
        <v>7095</v>
      </c>
      <c r="OFP3" t="s">
        <v>896</v>
      </c>
      <c r="OFQ3" t="s">
        <v>7096</v>
      </c>
      <c r="OFR3" t="s">
        <v>7097</v>
      </c>
      <c r="OFS3" t="s">
        <v>7098</v>
      </c>
      <c r="OFT3" t="s">
        <v>310</v>
      </c>
      <c r="OFU3" t="s">
        <v>7099</v>
      </c>
      <c r="OFV3" t="s">
        <v>896</v>
      </c>
      <c r="OFW3" t="s">
        <v>7100</v>
      </c>
      <c r="OFX3" t="s">
        <v>7101</v>
      </c>
      <c r="OFY3" t="s">
        <v>7102</v>
      </c>
      <c r="OFZ3" t="s">
        <v>7103</v>
      </c>
      <c r="OGA3" t="s">
        <v>7104</v>
      </c>
      <c r="OGB3" t="s">
        <v>7105</v>
      </c>
      <c r="OGC3" t="s">
        <v>7106</v>
      </c>
      <c r="OGD3" t="s">
        <v>7105</v>
      </c>
      <c r="OGE3" t="s">
        <v>7107</v>
      </c>
      <c r="OGF3" t="s">
        <v>7105</v>
      </c>
      <c r="OGG3" t="s">
        <v>7108</v>
      </c>
      <c r="OGH3" t="s">
        <v>7109</v>
      </c>
      <c r="OGI3" t="s">
        <v>7110</v>
      </c>
      <c r="OGJ3" t="s">
        <v>7111</v>
      </c>
      <c r="OGK3" t="s">
        <v>7112</v>
      </c>
      <c r="OGL3" t="s">
        <v>7110</v>
      </c>
      <c r="OGM3" t="s">
        <v>7113</v>
      </c>
      <c r="OGN3" t="s">
        <v>7114</v>
      </c>
      <c r="OGO3" t="s">
        <v>7115</v>
      </c>
      <c r="OGP3" t="s">
        <v>7105</v>
      </c>
      <c r="OGQ3" t="s">
        <v>7116</v>
      </c>
      <c r="OGR3" t="s">
        <v>7110</v>
      </c>
      <c r="OGS3" t="s">
        <v>7111</v>
      </c>
      <c r="OGT3" t="s">
        <v>7117</v>
      </c>
      <c r="OGU3" t="s">
        <v>7118</v>
      </c>
      <c r="OGV3" t="s">
        <v>7119</v>
      </c>
      <c r="OGW3" t="s">
        <v>7120</v>
      </c>
      <c r="OGX3" t="s">
        <v>7119</v>
      </c>
      <c r="OGY3" t="s">
        <v>7121</v>
      </c>
      <c r="OGZ3" t="s">
        <v>7122</v>
      </c>
      <c r="OHA3" t="s">
        <v>7105</v>
      </c>
      <c r="OHB3" t="s">
        <v>7123</v>
      </c>
      <c r="OHC3" t="s">
        <v>7124</v>
      </c>
      <c r="OHD3" t="s">
        <v>7125</v>
      </c>
      <c r="OHE3" t="s">
        <v>7126</v>
      </c>
      <c r="OHF3" t="s">
        <v>7124</v>
      </c>
      <c r="OHG3" t="s">
        <v>7127</v>
      </c>
      <c r="OHH3" t="s">
        <v>7128</v>
      </c>
      <c r="OHI3" t="s">
        <v>7129</v>
      </c>
      <c r="OHJ3" t="s">
        <v>7119</v>
      </c>
      <c r="OHK3" t="s">
        <v>7130</v>
      </c>
      <c r="OHL3" t="s">
        <v>7124</v>
      </c>
      <c r="OHM3" t="s">
        <v>7128</v>
      </c>
      <c r="OHN3" t="s">
        <v>7117</v>
      </c>
      <c r="OHO3" t="s">
        <v>7131</v>
      </c>
      <c r="OHP3" t="s">
        <v>7132</v>
      </c>
      <c r="OHQ3" t="s">
        <v>7133</v>
      </c>
      <c r="OHR3" t="s">
        <v>7134</v>
      </c>
      <c r="OHS3" t="s">
        <v>7135</v>
      </c>
      <c r="OHT3" t="s">
        <v>7136</v>
      </c>
      <c r="OHU3" t="s">
        <v>7137</v>
      </c>
      <c r="OHV3" t="s">
        <v>7138</v>
      </c>
      <c r="OHW3" t="s">
        <v>7139</v>
      </c>
      <c r="OHX3" t="s">
        <v>7140</v>
      </c>
      <c r="OHY3" t="s">
        <v>44</v>
      </c>
      <c r="OHZ3" t="s">
        <v>243</v>
      </c>
      <c r="OIA3" t="s">
        <v>4021</v>
      </c>
      <c r="OIB3" t="s">
        <v>4022</v>
      </c>
      <c r="OIC3" t="s">
        <v>7141</v>
      </c>
      <c r="OID3" t="s">
        <v>6288</v>
      </c>
      <c r="OIE3" t="s">
        <v>44</v>
      </c>
      <c r="OIF3" t="s">
        <v>4024</v>
      </c>
      <c r="OIG3" t="s">
        <v>1035</v>
      </c>
      <c r="OIH3" t="s">
        <v>44</v>
      </c>
      <c r="OII3" t="s">
        <v>1503</v>
      </c>
      <c r="OIJ3" t="s">
        <v>125</v>
      </c>
      <c r="OIK3" t="s">
        <v>7142</v>
      </c>
      <c r="OIL3" t="s">
        <v>7143</v>
      </c>
      <c r="OIM3" t="s">
        <v>7144</v>
      </c>
      <c r="OIN3" t="s">
        <v>7145</v>
      </c>
      <c r="OIO3" t="s">
        <v>7146</v>
      </c>
      <c r="OIP3" t="s">
        <v>7147</v>
      </c>
      <c r="OIQ3" t="s">
        <v>7148</v>
      </c>
      <c r="OIR3" t="s">
        <v>7149</v>
      </c>
      <c r="OIS3" t="s">
        <v>7150</v>
      </c>
      <c r="OIT3" t="s">
        <v>7151</v>
      </c>
      <c r="OIU3" t="s">
        <v>7152</v>
      </c>
      <c r="OIV3" t="s">
        <v>7153</v>
      </c>
      <c r="OIW3" t="s">
        <v>7154</v>
      </c>
      <c r="OIX3" t="s">
        <v>6292</v>
      </c>
      <c r="OIY3" t="s">
        <v>7155</v>
      </c>
      <c r="OIZ3" t="s">
        <v>7156</v>
      </c>
      <c r="OJA3" t="s">
        <v>7157</v>
      </c>
      <c r="OJB3" t="s">
        <v>7158</v>
      </c>
      <c r="OJC3" t="s">
        <v>7159</v>
      </c>
      <c r="OJD3" t="s">
        <v>7160</v>
      </c>
      <c r="OJE3" t="s">
        <v>4034</v>
      </c>
      <c r="OJF3" t="s">
        <v>7161</v>
      </c>
      <c r="OJG3" t="s">
        <v>1511</v>
      </c>
      <c r="OJH3" t="s">
        <v>932</v>
      </c>
      <c r="OJI3" t="s">
        <v>7162</v>
      </c>
      <c r="OJJ3" t="s">
        <v>7163</v>
      </c>
      <c r="OJK3" t="s">
        <v>7164</v>
      </c>
      <c r="OJL3" t="s">
        <v>7165</v>
      </c>
      <c r="OJM3" t="s">
        <v>7166</v>
      </c>
      <c r="OJN3" t="s">
        <v>44</v>
      </c>
      <c r="OJO3" t="s">
        <v>267</v>
      </c>
      <c r="OJP3" t="s">
        <v>1691</v>
      </c>
      <c r="OJQ3" t="s">
        <v>1504</v>
      </c>
      <c r="OJR3" t="s">
        <v>7167</v>
      </c>
      <c r="OJS3" t="s">
        <v>7168</v>
      </c>
      <c r="OJT3" t="s">
        <v>7169</v>
      </c>
      <c r="OJU3" t="s">
        <v>7170</v>
      </c>
      <c r="OJV3" t="s">
        <v>7171</v>
      </c>
      <c r="OJW3" t="s">
        <v>7172</v>
      </c>
      <c r="OJX3" t="s">
        <v>7173</v>
      </c>
      <c r="OJY3" t="s">
        <v>7174</v>
      </c>
      <c r="OJZ3" t="s">
        <v>7175</v>
      </c>
      <c r="OKA3" t="s">
        <v>7176</v>
      </c>
      <c r="OKB3" t="s">
        <v>388</v>
      </c>
      <c r="OKC3" t="s">
        <v>7177</v>
      </c>
      <c r="OKD3" t="s">
        <v>388</v>
      </c>
      <c r="OKE3" t="s">
        <v>7178</v>
      </c>
      <c r="OKF3" t="s">
        <v>4509</v>
      </c>
      <c r="OKG3" t="s">
        <v>7179</v>
      </c>
      <c r="OKH3" t="s">
        <v>7180</v>
      </c>
      <c r="OKI3" t="s">
        <v>267</v>
      </c>
      <c r="OKJ3" t="s">
        <v>47</v>
      </c>
      <c r="OKK3" t="s">
        <v>1347</v>
      </c>
      <c r="OKL3" t="s">
        <v>1693</v>
      </c>
      <c r="OKM3" t="s">
        <v>1919</v>
      </c>
      <c r="OKN3" t="s">
        <v>4040</v>
      </c>
      <c r="OKO3" t="s">
        <v>267</v>
      </c>
      <c r="OKP3" t="s">
        <v>47</v>
      </c>
      <c r="OKQ3" t="s">
        <v>1347</v>
      </c>
      <c r="OKR3" t="s">
        <v>1694</v>
      </c>
      <c r="OKS3" t="s">
        <v>7181</v>
      </c>
      <c r="OKT3" t="s">
        <v>7182</v>
      </c>
      <c r="OKU3" t="s">
        <v>7183</v>
      </c>
      <c r="OKV3" t="s">
        <v>7184</v>
      </c>
      <c r="OKW3" t="s">
        <v>7185</v>
      </c>
      <c r="OKX3" t="s">
        <v>388</v>
      </c>
      <c r="OKY3" t="s">
        <v>4040</v>
      </c>
      <c r="OKZ3" t="s">
        <v>267</v>
      </c>
      <c r="OLA3" t="s">
        <v>47</v>
      </c>
      <c r="OLB3" t="s">
        <v>1347</v>
      </c>
      <c r="OLC3" t="s">
        <v>1692</v>
      </c>
      <c r="OLD3" t="s">
        <v>1919</v>
      </c>
      <c r="OLE3" t="s">
        <v>7186</v>
      </c>
      <c r="OLF3" t="s">
        <v>7187</v>
      </c>
      <c r="OLG3" t="s">
        <v>44</v>
      </c>
      <c r="OLH3" t="s">
        <v>6314</v>
      </c>
      <c r="OLI3" t="s">
        <v>6315</v>
      </c>
      <c r="OLJ3" t="s">
        <v>6316</v>
      </c>
      <c r="OLK3" t="s">
        <v>7188</v>
      </c>
      <c r="OLL3" t="s">
        <v>3638</v>
      </c>
      <c r="OLM3" t="s">
        <v>7189</v>
      </c>
      <c r="OLN3" t="s">
        <v>7190</v>
      </c>
      <c r="OLO3" t="s">
        <v>7191</v>
      </c>
      <c r="OLP3" t="s">
        <v>7192</v>
      </c>
      <c r="OLQ3" t="s">
        <v>7193</v>
      </c>
      <c r="OLR3" t="s">
        <v>5594</v>
      </c>
      <c r="OLS3" t="s">
        <v>7194</v>
      </c>
      <c r="OLT3" t="s">
        <v>7195</v>
      </c>
      <c r="OLU3" t="s">
        <v>7196</v>
      </c>
      <c r="OLV3" t="s">
        <v>7147</v>
      </c>
      <c r="OLW3" t="s">
        <v>7197</v>
      </c>
      <c r="OLX3" t="s">
        <v>7198</v>
      </c>
      <c r="OLY3" t="s">
        <v>4042</v>
      </c>
      <c r="OLZ3" t="s">
        <v>44</v>
      </c>
      <c r="OMA3" t="s">
        <v>7199</v>
      </c>
      <c r="OMB3" t="s">
        <v>7200</v>
      </c>
      <c r="OMC3" t="s">
        <v>7201</v>
      </c>
      <c r="OMD3" t="s">
        <v>44</v>
      </c>
      <c r="OME3" t="s">
        <v>243</v>
      </c>
      <c r="OMF3" t="s">
        <v>4021</v>
      </c>
      <c r="OMG3" t="s">
        <v>7202</v>
      </c>
      <c r="OMH3" t="s">
        <v>7203</v>
      </c>
      <c r="OMI3" t="s">
        <v>7204</v>
      </c>
      <c r="OMJ3" t="s">
        <v>7205</v>
      </c>
      <c r="OMK3" t="s">
        <v>7206</v>
      </c>
      <c r="OML3" t="s">
        <v>7207</v>
      </c>
      <c r="OMM3" t="s">
        <v>7208</v>
      </c>
      <c r="OMN3" t="s">
        <v>44</v>
      </c>
      <c r="OMO3" t="s">
        <v>125</v>
      </c>
      <c r="OMP3" t="s">
        <v>7209</v>
      </c>
      <c r="OMQ3" t="s">
        <v>7210</v>
      </c>
      <c r="OMR3" t="s">
        <v>7211</v>
      </c>
      <c r="OMS3" t="s">
        <v>7212</v>
      </c>
      <c r="OMT3" t="s">
        <v>7213</v>
      </c>
      <c r="OMU3" t="s">
        <v>1310</v>
      </c>
      <c r="OMV3" t="s">
        <v>7214</v>
      </c>
      <c r="OMW3" t="s">
        <v>7215</v>
      </c>
      <c r="OMX3" t="s">
        <v>7216</v>
      </c>
      <c r="OMY3" t="s">
        <v>7217</v>
      </c>
      <c r="OMZ3" t="s">
        <v>266</v>
      </c>
      <c r="ONA3" t="s">
        <v>267</v>
      </c>
      <c r="ONB3" t="s">
        <v>1347</v>
      </c>
      <c r="ONC3" t="s">
        <v>7218</v>
      </c>
      <c r="OND3" t="s">
        <v>7219</v>
      </c>
      <c r="ONE3" t="s">
        <v>7220</v>
      </c>
      <c r="ONF3" t="s">
        <v>7221</v>
      </c>
      <c r="ONG3" t="s">
        <v>7222</v>
      </c>
      <c r="ONH3" t="s">
        <v>1336</v>
      </c>
      <c r="ONI3" t="s">
        <v>7223</v>
      </c>
      <c r="ONJ3" t="s">
        <v>7224</v>
      </c>
      <c r="ONK3" t="s">
        <v>7225</v>
      </c>
      <c r="ONL3" t="s">
        <v>7226</v>
      </c>
      <c r="ONM3" t="s">
        <v>7227</v>
      </c>
      <c r="ONN3" t="s">
        <v>7228</v>
      </c>
      <c r="ONO3" t="s">
        <v>7229</v>
      </c>
      <c r="ONP3" t="s">
        <v>7230</v>
      </c>
      <c r="ONQ3" t="s">
        <v>7231</v>
      </c>
      <c r="ONR3" t="s">
        <v>7230</v>
      </c>
      <c r="ONS3" t="s">
        <v>7232</v>
      </c>
      <c r="ONT3" t="s">
        <v>4258</v>
      </c>
      <c r="ONU3" t="s">
        <v>7233</v>
      </c>
      <c r="ONV3" t="s">
        <v>7234</v>
      </c>
      <c r="ONW3" t="s">
        <v>7211</v>
      </c>
      <c r="ONX3" t="s">
        <v>7235</v>
      </c>
      <c r="ONY3" t="s">
        <v>7236</v>
      </c>
      <c r="ONZ3" t="s">
        <v>7237</v>
      </c>
      <c r="OOA3" t="s">
        <v>7238</v>
      </c>
      <c r="OOB3" t="s">
        <v>7239</v>
      </c>
      <c r="OOC3" t="s">
        <v>7240</v>
      </c>
      <c r="OOD3" t="s">
        <v>7241</v>
      </c>
      <c r="OOE3" t="s">
        <v>7242</v>
      </c>
      <c r="OOF3" t="s">
        <v>7243</v>
      </c>
      <c r="OOG3" t="s">
        <v>7244</v>
      </c>
      <c r="OOH3" t="s">
        <v>1824</v>
      </c>
      <c r="OOI3" t="s">
        <v>125</v>
      </c>
      <c r="OOJ3" t="s">
        <v>1685</v>
      </c>
      <c r="OOK3" t="s">
        <v>7245</v>
      </c>
      <c r="OOL3" t="s">
        <v>7246</v>
      </c>
      <c r="OOM3" t="s">
        <v>7244</v>
      </c>
      <c r="OON3" t="s">
        <v>3259</v>
      </c>
      <c r="OOO3" t="s">
        <v>125</v>
      </c>
      <c r="OOP3" t="s">
        <v>1526</v>
      </c>
      <c r="OOQ3" t="s">
        <v>7247</v>
      </c>
      <c r="OOR3" t="s">
        <v>3426</v>
      </c>
      <c r="OOS3" t="s">
        <v>7248</v>
      </c>
      <c r="OOT3" t="s">
        <v>3269</v>
      </c>
      <c r="OOU3" t="s">
        <v>7249</v>
      </c>
      <c r="OOV3" t="s">
        <v>4415</v>
      </c>
      <c r="OOW3" t="s">
        <v>7250</v>
      </c>
      <c r="OOX3" t="s">
        <v>7251</v>
      </c>
      <c r="OOY3" t="s">
        <v>44</v>
      </c>
      <c r="OOZ3" t="s">
        <v>125</v>
      </c>
      <c r="OPA3" t="s">
        <v>3041</v>
      </c>
      <c r="OPB3" t="s">
        <v>7252</v>
      </c>
      <c r="OPC3" t="s">
        <v>7253</v>
      </c>
      <c r="OPD3" t="s">
        <v>7254</v>
      </c>
      <c r="OPE3" t="s">
        <v>7255</v>
      </c>
      <c r="OPF3" t="s">
        <v>267</v>
      </c>
      <c r="OPG3" t="s">
        <v>266</v>
      </c>
      <c r="OPH3" t="s">
        <v>7256</v>
      </c>
      <c r="OPI3" t="s">
        <v>7257</v>
      </c>
      <c r="OPJ3" t="s">
        <v>7258</v>
      </c>
      <c r="OPK3" t="s">
        <v>7259</v>
      </c>
      <c r="OPL3" t="s">
        <v>2615</v>
      </c>
      <c r="OPM3" t="s">
        <v>7260</v>
      </c>
      <c r="OPN3" t="s">
        <v>44</v>
      </c>
      <c r="OPO3" t="s">
        <v>125</v>
      </c>
      <c r="OPP3" t="s">
        <v>126</v>
      </c>
      <c r="OPQ3" t="s">
        <v>46</v>
      </c>
      <c r="OPR3" t="s">
        <v>47</v>
      </c>
      <c r="OPS3" t="s">
        <v>6498</v>
      </c>
      <c r="OPT3" t="s">
        <v>48</v>
      </c>
      <c r="OPU3" t="s">
        <v>49</v>
      </c>
      <c r="OPV3" t="s">
        <v>254</v>
      </c>
      <c r="OPW3" t="s">
        <v>7261</v>
      </c>
      <c r="OPX3" t="s">
        <v>7262</v>
      </c>
      <c r="OPY3" t="s">
        <v>7263</v>
      </c>
      <c r="OPZ3" t="s">
        <v>7264</v>
      </c>
      <c r="OQA3" t="s">
        <v>7265</v>
      </c>
      <c r="OQB3" t="s">
        <v>7266</v>
      </c>
      <c r="OQC3" t="s">
        <v>7267</v>
      </c>
      <c r="OQD3" t="s">
        <v>7268</v>
      </c>
      <c r="OQE3" t="s">
        <v>7269</v>
      </c>
      <c r="OQF3" t="s">
        <v>7270</v>
      </c>
      <c r="OQG3" t="s">
        <v>7271</v>
      </c>
      <c r="OQH3" t="s">
        <v>7272</v>
      </c>
      <c r="OQI3" t="s">
        <v>7273</v>
      </c>
      <c r="OQJ3" t="s">
        <v>1894</v>
      </c>
      <c r="OQK3" t="s">
        <v>7274</v>
      </c>
      <c r="OQL3" t="s">
        <v>7275</v>
      </c>
      <c r="OQM3" t="s">
        <v>7276</v>
      </c>
      <c r="OQN3" t="s">
        <v>7277</v>
      </c>
      <c r="OQO3" t="s">
        <v>7278</v>
      </c>
      <c r="OQP3" t="s">
        <v>7279</v>
      </c>
      <c r="OQQ3" t="s">
        <v>7280</v>
      </c>
      <c r="OQR3" t="s">
        <v>7281</v>
      </c>
      <c r="OQS3" t="s">
        <v>7282</v>
      </c>
      <c r="OQT3" t="s">
        <v>7283</v>
      </c>
      <c r="OQU3" t="s">
        <v>7284</v>
      </c>
      <c r="OQV3" t="s">
        <v>7285</v>
      </c>
      <c r="OQW3" t="s">
        <v>7286</v>
      </c>
      <c r="OQX3" t="s">
        <v>7287</v>
      </c>
      <c r="OQY3" t="s">
        <v>7288</v>
      </c>
      <c r="OQZ3" t="s">
        <v>7289</v>
      </c>
      <c r="ORA3" t="s">
        <v>7290</v>
      </c>
      <c r="ORB3" t="s">
        <v>7291</v>
      </c>
      <c r="ORC3" t="s">
        <v>7292</v>
      </c>
      <c r="ORD3" t="s">
        <v>7293</v>
      </c>
      <c r="ORE3" t="s">
        <v>7294</v>
      </c>
      <c r="ORF3" t="s">
        <v>267</v>
      </c>
      <c r="ORG3" t="s">
        <v>266</v>
      </c>
      <c r="ORH3" t="s">
        <v>1347</v>
      </c>
      <c r="ORI3" t="s">
        <v>125</v>
      </c>
      <c r="ORJ3" t="s">
        <v>6820</v>
      </c>
      <c r="ORK3" t="s">
        <v>7295</v>
      </c>
      <c r="ORL3" t="s">
        <v>7296</v>
      </c>
      <c r="ORM3" t="s">
        <v>7297</v>
      </c>
      <c r="ORN3" t="s">
        <v>7298</v>
      </c>
      <c r="ORO3" t="s">
        <v>7299</v>
      </c>
      <c r="ORP3" t="s">
        <v>7300</v>
      </c>
      <c r="ORQ3" t="s">
        <v>7301</v>
      </c>
      <c r="ORR3" t="s">
        <v>7302</v>
      </c>
      <c r="ORS3" t="s">
        <v>7303</v>
      </c>
      <c r="ORT3" t="e">
        <f>+Z+""</f>
        <v>#NAME?</v>
      </c>
      <c r="ORU3" t="s">
        <v>7304</v>
      </c>
      <c r="ORV3" t="s">
        <v>4459</v>
      </c>
      <c r="ORW3" t="s">
        <v>7305</v>
      </c>
      <c r="ORX3" t="s">
        <v>7306</v>
      </c>
      <c r="ORY3" t="s">
        <v>44</v>
      </c>
      <c r="ORZ3" t="s">
        <v>7307</v>
      </c>
      <c r="OSA3" t="s">
        <v>7308</v>
      </c>
      <c r="OSB3" t="s">
        <v>7309</v>
      </c>
      <c r="OSC3" t="s">
        <v>7310</v>
      </c>
      <c r="OSD3" t="s">
        <v>7311</v>
      </c>
      <c r="OSE3" t="s">
        <v>1449</v>
      </c>
      <c r="OSF3" t="s">
        <v>1450</v>
      </c>
      <c r="OSG3" t="s">
        <v>7312</v>
      </c>
      <c r="OSH3" t="s">
        <v>7313</v>
      </c>
      <c r="OSI3" t="s">
        <v>7314</v>
      </c>
      <c r="OSJ3" t="s">
        <v>7315</v>
      </c>
      <c r="OSK3" t="s">
        <v>7316</v>
      </c>
      <c r="OSL3" t="s">
        <v>7317</v>
      </c>
      <c r="OSM3" t="s">
        <v>7318</v>
      </c>
      <c r="OSN3" t="s">
        <v>7319</v>
      </c>
      <c r="OSO3" t="s">
        <v>7320</v>
      </c>
      <c r="OSP3" t="s">
        <v>7321</v>
      </c>
      <c r="OSQ3" t="s">
        <v>7322</v>
      </c>
      <c r="OSR3" t="s">
        <v>7323</v>
      </c>
      <c r="OSS3" t="s">
        <v>7324</v>
      </c>
      <c r="OST3" t="s">
        <v>7325</v>
      </c>
      <c r="OSU3" t="s">
        <v>2132</v>
      </c>
      <c r="OSV3" t="s">
        <v>126</v>
      </c>
      <c r="OSW3" t="s">
        <v>46</v>
      </c>
      <c r="OSX3" t="s">
        <v>7326</v>
      </c>
      <c r="OSY3" t="s">
        <v>7327</v>
      </c>
      <c r="OSZ3" t="s">
        <v>7328</v>
      </c>
      <c r="OTA3" t="s">
        <v>7329</v>
      </c>
      <c r="OTB3" t="s">
        <v>7330</v>
      </c>
      <c r="OTC3" t="s">
        <v>7331</v>
      </c>
      <c r="OTD3" t="s">
        <v>7332</v>
      </c>
      <c r="OTE3" t="s">
        <v>126</v>
      </c>
      <c r="OTF3" t="s">
        <v>7333</v>
      </c>
      <c r="OTG3" t="s">
        <v>125</v>
      </c>
      <c r="OTH3" t="s">
        <v>47</v>
      </c>
      <c r="OTI3" t="s">
        <v>7334</v>
      </c>
      <c r="OTJ3" t="s">
        <v>125</v>
      </c>
      <c r="OTK3" t="s">
        <v>47</v>
      </c>
      <c r="OTL3" t="s">
        <v>7335</v>
      </c>
      <c r="OTM3" t="s">
        <v>7336</v>
      </c>
      <c r="OTN3" t="s">
        <v>7337</v>
      </c>
      <c r="OTO3" t="s">
        <v>1544</v>
      </c>
      <c r="OTP3" t="s">
        <v>7338</v>
      </c>
      <c r="OTQ3" t="s">
        <v>7339</v>
      </c>
      <c r="OTR3" t="s">
        <v>1352</v>
      </c>
      <c r="OTS3" t="s">
        <v>7340</v>
      </c>
      <c r="OTT3" t="s">
        <v>7341</v>
      </c>
      <c r="OTU3" t="s">
        <v>1511</v>
      </c>
      <c r="OTV3" t="s">
        <v>7342</v>
      </c>
      <c r="OTW3" t="s">
        <v>921</v>
      </c>
      <c r="OTX3" t="s">
        <v>3638</v>
      </c>
      <c r="OTY3" t="s">
        <v>1828</v>
      </c>
      <c r="OTZ3" t="s">
        <v>1827</v>
      </c>
      <c r="OUA3" t="s">
        <v>7343</v>
      </c>
      <c r="OUB3" t="s">
        <v>7344</v>
      </c>
      <c r="OUC3" t="s">
        <v>7345</v>
      </c>
      <c r="OUD3" t="s">
        <v>7346</v>
      </c>
      <c r="OUE3" t="s">
        <v>7347</v>
      </c>
      <c r="OUF3" t="s">
        <v>7348</v>
      </c>
      <c r="OUG3" t="s">
        <v>7349</v>
      </c>
      <c r="OUH3" t="s">
        <v>7350</v>
      </c>
      <c r="OUI3" t="s">
        <v>7351</v>
      </c>
      <c r="OUJ3" t="s">
        <v>1882</v>
      </c>
      <c r="OUK3" t="s">
        <v>7352</v>
      </c>
      <c r="OUL3" t="s">
        <v>7353</v>
      </c>
      <c r="OUM3" t="s">
        <v>7354</v>
      </c>
      <c r="OUN3" t="s">
        <v>7355</v>
      </c>
      <c r="OUO3" t="s">
        <v>7356</v>
      </c>
      <c r="OUP3" t="s">
        <v>7357</v>
      </c>
      <c r="OUQ3" t="s">
        <v>7358</v>
      </c>
      <c r="OUR3" t="s">
        <v>7359</v>
      </c>
      <c r="OUS3" t="s">
        <v>7360</v>
      </c>
      <c r="OUT3" t="s">
        <v>7361</v>
      </c>
      <c r="OUU3" t="s">
        <v>6070</v>
      </c>
      <c r="OUV3" t="s">
        <v>7362</v>
      </c>
      <c r="OUW3" t="s">
        <v>7363</v>
      </c>
      <c r="OUX3" t="s">
        <v>7364</v>
      </c>
      <c r="OUY3" t="s">
        <v>7365</v>
      </c>
      <c r="OUZ3" t="s">
        <v>7366</v>
      </c>
      <c r="OVA3" t="s">
        <v>7367</v>
      </c>
      <c r="OVB3" t="s">
        <v>7368</v>
      </c>
      <c r="OVC3" t="s">
        <v>7369</v>
      </c>
      <c r="OVD3" t="s">
        <v>7370</v>
      </c>
      <c r="OVE3" t="s">
        <v>7371</v>
      </c>
      <c r="OVF3" t="s">
        <v>7372</v>
      </c>
      <c r="OVG3" t="s">
        <v>7373</v>
      </c>
      <c r="OVH3" t="s">
        <v>7374</v>
      </c>
      <c r="OVI3" t="s">
        <v>7375</v>
      </c>
      <c r="OVJ3" t="s">
        <v>7376</v>
      </c>
      <c r="OVK3" t="s">
        <v>7377</v>
      </c>
      <c r="OVL3" t="s">
        <v>7378</v>
      </c>
      <c r="OVM3" t="s">
        <v>7379</v>
      </c>
      <c r="OVN3" t="s">
        <v>7380</v>
      </c>
      <c r="OVO3" t="s">
        <v>7381</v>
      </c>
      <c r="OVP3" t="s">
        <v>7382</v>
      </c>
      <c r="OVQ3" t="s">
        <v>7383</v>
      </c>
      <c r="OVR3" t="s">
        <v>7384</v>
      </c>
      <c r="OVS3" t="s">
        <v>7385</v>
      </c>
      <c r="OVT3" t="s">
        <v>7386</v>
      </c>
      <c r="OVU3" t="s">
        <v>7387</v>
      </c>
      <c r="OVV3" t="s">
        <v>7388</v>
      </c>
      <c r="OVW3" t="s">
        <v>7389</v>
      </c>
      <c r="OVX3" t="s">
        <v>7382</v>
      </c>
      <c r="OVY3" t="s">
        <v>7390</v>
      </c>
      <c r="OVZ3" t="s">
        <v>7391</v>
      </c>
      <c r="OWA3" t="s">
        <v>7392</v>
      </c>
      <c r="OWB3" t="s">
        <v>7393</v>
      </c>
      <c r="OWC3" t="s">
        <v>7394</v>
      </c>
      <c r="OWD3" t="s">
        <v>7395</v>
      </c>
      <c r="OWE3" t="s">
        <v>47</v>
      </c>
      <c r="OWF3" t="s">
        <v>7396</v>
      </c>
      <c r="OWG3" t="s">
        <v>7397</v>
      </c>
      <c r="OWH3" t="s">
        <v>4518</v>
      </c>
      <c r="OWI3" t="s">
        <v>7398</v>
      </c>
      <c r="OWJ3" t="s">
        <v>7399</v>
      </c>
      <c r="OWK3" t="s">
        <v>7400</v>
      </c>
      <c r="OWL3" t="s">
        <v>7401</v>
      </c>
      <c r="OWM3" t="s">
        <v>7402</v>
      </c>
      <c r="OWN3" t="s">
        <v>7403</v>
      </c>
      <c r="OWO3" t="s">
        <v>7404</v>
      </c>
      <c r="OWP3" t="s">
        <v>7405</v>
      </c>
      <c r="OWQ3" t="s">
        <v>7406</v>
      </c>
      <c r="OWR3" t="s">
        <v>7407</v>
      </c>
      <c r="OWS3" t="s">
        <v>7408</v>
      </c>
      <c r="OWT3" t="s">
        <v>7409</v>
      </c>
      <c r="OWU3" t="s">
        <v>7410</v>
      </c>
      <c r="OWV3" t="s">
        <v>7411</v>
      </c>
      <c r="OWW3" t="s">
        <v>7412</v>
      </c>
      <c r="OWX3" t="s">
        <v>7413</v>
      </c>
      <c r="OWY3" t="s">
        <v>7414</v>
      </c>
      <c r="OWZ3" t="s">
        <v>7415</v>
      </c>
      <c r="OXA3" t="s">
        <v>7416</v>
      </c>
      <c r="OXB3" t="s">
        <v>7417</v>
      </c>
      <c r="OXC3" t="s">
        <v>7418</v>
      </c>
      <c r="OXD3" t="s">
        <v>7419</v>
      </c>
      <c r="OXE3" t="s">
        <v>1336</v>
      </c>
      <c r="OXF3" t="s">
        <v>7420</v>
      </c>
      <c r="OXG3" t="s">
        <v>7421</v>
      </c>
      <c r="OXH3" t="s">
        <v>7422</v>
      </c>
      <c r="OXI3" t="s">
        <v>7423</v>
      </c>
      <c r="OXJ3" t="s">
        <v>7424</v>
      </c>
      <c r="OXK3" t="s">
        <v>7425</v>
      </c>
      <c r="OXL3" t="s">
        <v>255</v>
      </c>
      <c r="OXM3" t="s">
        <v>7426</v>
      </c>
      <c r="OXN3" t="s">
        <v>7427</v>
      </c>
      <c r="OXO3" t="s">
        <v>44</v>
      </c>
      <c r="OXP3" t="s">
        <v>333</v>
      </c>
      <c r="OXQ3" t="s">
        <v>2499</v>
      </c>
      <c r="OXR3" t="s">
        <v>2538</v>
      </c>
      <c r="OXS3" t="s">
        <v>7428</v>
      </c>
      <c r="OXT3" t="s">
        <v>7204</v>
      </c>
      <c r="OXU3" t="s">
        <v>7429</v>
      </c>
      <c r="OXV3" t="s">
        <v>7430</v>
      </c>
      <c r="OXW3" t="s">
        <v>7431</v>
      </c>
      <c r="OXX3" t="s">
        <v>7432</v>
      </c>
      <c r="OXY3" t="s">
        <v>7433</v>
      </c>
      <c r="OXZ3" t="s">
        <v>7434</v>
      </c>
      <c r="OYA3" t="s">
        <v>7435</v>
      </c>
      <c r="OYB3" t="s">
        <v>7436</v>
      </c>
      <c r="OYC3" t="s">
        <v>7437</v>
      </c>
      <c r="OYD3" t="s">
        <v>7438</v>
      </c>
      <c r="OYE3" t="s">
        <v>7439</v>
      </c>
      <c r="OYF3" t="s">
        <v>7440</v>
      </c>
      <c r="OYG3" t="s">
        <v>7441</v>
      </c>
      <c r="OYH3" t="s">
        <v>7442</v>
      </c>
      <c r="OYI3" t="s">
        <v>7443</v>
      </c>
      <c r="OYJ3" t="s">
        <v>7444</v>
      </c>
      <c r="OYK3" t="s">
        <v>7445</v>
      </c>
      <c r="OYL3" t="s">
        <v>7446</v>
      </c>
      <c r="OYM3" t="s">
        <v>1882</v>
      </c>
      <c r="OYN3" t="s">
        <v>7447</v>
      </c>
      <c r="OYO3" t="s">
        <v>7448</v>
      </c>
      <c r="OYP3" t="s">
        <v>3389</v>
      </c>
      <c r="OYQ3" t="s">
        <v>7449</v>
      </c>
      <c r="OYR3" t="s">
        <v>7450</v>
      </c>
      <c r="OYS3" t="s">
        <v>7451</v>
      </c>
      <c r="OYT3" t="s">
        <v>7452</v>
      </c>
      <c r="OYU3" t="s">
        <v>7453</v>
      </c>
      <c r="OYV3" t="s">
        <v>7454</v>
      </c>
      <c r="OYW3">
        <v>0</v>
      </c>
      <c r="OYX3">
        <v>0</v>
      </c>
      <c r="OYY3" t="s">
        <v>1797</v>
      </c>
      <c r="OYZ3" t="s">
        <v>7455</v>
      </c>
      <c r="OZA3" t="s">
        <v>7456</v>
      </c>
      <c r="OZB3" t="s">
        <v>7457</v>
      </c>
      <c r="OZC3" t="s">
        <v>7458</v>
      </c>
      <c r="OZD3">
        <v>0</v>
      </c>
      <c r="OZE3">
        <v>0</v>
      </c>
      <c r="OZF3" t="s">
        <v>7459</v>
      </c>
      <c r="OZG3" t="s">
        <v>7460</v>
      </c>
      <c r="OZH3" t="s">
        <v>7461</v>
      </c>
      <c r="OZI3" t="s">
        <v>7462</v>
      </c>
      <c r="OZJ3" t="s">
        <v>7463</v>
      </c>
      <c r="OZK3" t="s">
        <v>7464</v>
      </c>
      <c r="OZL3" t="s">
        <v>7465</v>
      </c>
      <c r="OZM3" t="s">
        <v>7466</v>
      </c>
      <c r="OZN3" t="s">
        <v>3644</v>
      </c>
      <c r="OZO3" t="s">
        <v>7467</v>
      </c>
      <c r="OZP3" t="s">
        <v>255</v>
      </c>
      <c r="OZQ3" t="s">
        <v>3389</v>
      </c>
      <c r="OZR3" t="s">
        <v>7468</v>
      </c>
      <c r="OZS3" t="s">
        <v>44</v>
      </c>
      <c r="OZT3" t="s">
        <v>254</v>
      </c>
      <c r="OZU3" t="s">
        <v>3269</v>
      </c>
      <c r="OZV3" t="s">
        <v>7469</v>
      </c>
      <c r="OZW3" t="s">
        <v>7470</v>
      </c>
      <c r="OZX3" t="s">
        <v>7471</v>
      </c>
      <c r="OZY3" t="s">
        <v>7472</v>
      </c>
      <c r="OZZ3" t="s">
        <v>7473</v>
      </c>
      <c r="PAA3" t="s">
        <v>4555</v>
      </c>
      <c r="PAB3" t="s">
        <v>7474</v>
      </c>
      <c r="PAC3" t="s">
        <v>7475</v>
      </c>
      <c r="PAD3" t="s">
        <v>7476</v>
      </c>
      <c r="PAE3" t="s">
        <v>7477</v>
      </c>
      <c r="PAF3" t="s">
        <v>7478</v>
      </c>
      <c r="PAG3" t="s">
        <v>4518</v>
      </c>
      <c r="PAH3" t="s">
        <v>7479</v>
      </c>
      <c r="PAI3" t="s">
        <v>44</v>
      </c>
      <c r="PAJ3" t="s">
        <v>125</v>
      </c>
      <c r="PAK3" t="s">
        <v>511</v>
      </c>
      <c r="PAL3" t="s">
        <v>48</v>
      </c>
      <c r="PAM3" t="s">
        <v>7480</v>
      </c>
      <c r="PAN3" t="s">
        <v>1308</v>
      </c>
      <c r="PAO3" t="s">
        <v>1692</v>
      </c>
      <c r="PAP3" t="s">
        <v>267</v>
      </c>
      <c r="PAQ3" t="s">
        <v>1347</v>
      </c>
      <c r="PAR3" t="s">
        <v>1695</v>
      </c>
      <c r="PAS3" t="s">
        <v>325</v>
      </c>
      <c r="PAT3" t="s">
        <v>4493</v>
      </c>
      <c r="PAU3" t="s">
        <v>921</v>
      </c>
      <c r="PAV3" t="s">
        <v>3638</v>
      </c>
      <c r="PAW3" t="s">
        <v>1828</v>
      </c>
      <c r="PAX3" t="s">
        <v>1827</v>
      </c>
      <c r="PAY3" t="s">
        <v>3644</v>
      </c>
      <c r="PAZ3" t="s">
        <v>1823</v>
      </c>
      <c r="PBA3" t="s">
        <v>1824</v>
      </c>
      <c r="PBB3" t="s">
        <v>1822</v>
      </c>
      <c r="PBC3" t="s">
        <v>7481</v>
      </c>
      <c r="PBD3" t="s">
        <v>7482</v>
      </c>
      <c r="PBE3" t="s">
        <v>7483</v>
      </c>
      <c r="PBF3" t="s">
        <v>7484</v>
      </c>
      <c r="PBG3" t="s">
        <v>7485</v>
      </c>
      <c r="PBH3" t="s">
        <v>7486</v>
      </c>
      <c r="PBI3" t="s">
        <v>7487</v>
      </c>
      <c r="PBJ3" t="s">
        <v>7488</v>
      </c>
      <c r="PBK3" t="s">
        <v>7489</v>
      </c>
      <c r="PBL3" t="s">
        <v>7211</v>
      </c>
      <c r="PBM3" t="s">
        <v>7490</v>
      </c>
      <c r="PBN3" t="s">
        <v>7491</v>
      </c>
      <c r="PBO3" t="s">
        <v>7239</v>
      </c>
      <c r="PBP3" t="s">
        <v>7492</v>
      </c>
      <c r="PBQ3" t="s">
        <v>7493</v>
      </c>
      <c r="PBR3" t="s">
        <v>7494</v>
      </c>
      <c r="PBS3" t="s">
        <v>7495</v>
      </c>
      <c r="PBT3" t="s">
        <v>7496</v>
      </c>
      <c r="PBU3" t="s">
        <v>7497</v>
      </c>
      <c r="PBV3" t="s">
        <v>7498</v>
      </c>
      <c r="PBW3" t="s">
        <v>6820</v>
      </c>
      <c r="PBX3" t="s">
        <v>125</v>
      </c>
      <c r="PBY3" t="s">
        <v>1685</v>
      </c>
      <c r="PBZ3" t="s">
        <v>7499</v>
      </c>
      <c r="PCA3" t="s">
        <v>7500</v>
      </c>
      <c r="PCB3" t="s">
        <v>7498</v>
      </c>
      <c r="PCC3" t="s">
        <v>4459</v>
      </c>
      <c r="PCD3" t="s">
        <v>125</v>
      </c>
      <c r="PCE3" t="s">
        <v>1526</v>
      </c>
      <c r="PCF3" t="s">
        <v>7501</v>
      </c>
      <c r="PCG3" t="s">
        <v>7502</v>
      </c>
      <c r="PCH3" t="s">
        <v>6820</v>
      </c>
      <c r="PCI3" t="s">
        <v>1685</v>
      </c>
      <c r="PCJ3" t="s">
        <v>7503</v>
      </c>
      <c r="PCK3" t="s">
        <v>7504</v>
      </c>
      <c r="PCL3" t="s">
        <v>4459</v>
      </c>
      <c r="PCM3" t="s">
        <v>1526</v>
      </c>
      <c r="PCN3" t="s">
        <v>4533</v>
      </c>
      <c r="PCO3" t="s">
        <v>7505</v>
      </c>
      <c r="PCP3" t="s">
        <v>7506</v>
      </c>
      <c r="PCQ3" t="s">
        <v>2615</v>
      </c>
      <c r="PCR3" t="s">
        <v>7507</v>
      </c>
      <c r="PCS3" t="s">
        <v>7508</v>
      </c>
      <c r="PCT3" t="s">
        <v>7509</v>
      </c>
      <c r="PCU3" t="s">
        <v>7510</v>
      </c>
      <c r="PCV3" t="s">
        <v>7511</v>
      </c>
      <c r="PCW3" t="s">
        <v>7512</v>
      </c>
      <c r="PCX3" t="s">
        <v>7513</v>
      </c>
      <c r="PCY3" t="s">
        <v>7514</v>
      </c>
      <c r="PCZ3" t="s">
        <v>7515</v>
      </c>
      <c r="PDA3" t="s">
        <v>4531</v>
      </c>
      <c r="PDB3" t="s">
        <v>7516</v>
      </c>
      <c r="PDC3" t="s">
        <v>4790</v>
      </c>
      <c r="PDD3" t="s">
        <v>7517</v>
      </c>
      <c r="PDE3" t="s">
        <v>388</v>
      </c>
      <c r="PDF3" t="s">
        <v>7518</v>
      </c>
      <c r="PDG3" t="s">
        <v>7519</v>
      </c>
      <c r="PDH3" t="s">
        <v>7520</v>
      </c>
      <c r="PDI3" t="s">
        <v>7521</v>
      </c>
      <c r="PDJ3" t="s">
        <v>7522</v>
      </c>
      <c r="PDK3" t="s">
        <v>7517</v>
      </c>
      <c r="PDL3" t="s">
        <v>388</v>
      </c>
      <c r="PDM3" t="s">
        <v>7523</v>
      </c>
      <c r="PDN3" t="s">
        <v>7524</v>
      </c>
      <c r="PDO3" t="s">
        <v>4555</v>
      </c>
      <c r="PDP3" t="s">
        <v>7525</v>
      </c>
      <c r="PDQ3" t="s">
        <v>7526</v>
      </c>
      <c r="PDR3" t="s">
        <v>7527</v>
      </c>
      <c r="PDS3" t="s">
        <v>7528</v>
      </c>
      <c r="PDT3" t="s">
        <v>7529</v>
      </c>
      <c r="PDU3" t="s">
        <v>7530</v>
      </c>
      <c r="PDV3" t="s">
        <v>7531</v>
      </c>
      <c r="PDW3" t="s">
        <v>7532</v>
      </c>
      <c r="PDX3" t="s">
        <v>7533</v>
      </c>
      <c r="PDY3" t="s">
        <v>7534</v>
      </c>
      <c r="PDZ3" t="s">
        <v>7535</v>
      </c>
      <c r="PEA3" t="s">
        <v>7536</v>
      </c>
      <c r="PEB3" t="s">
        <v>7537</v>
      </c>
      <c r="PEC3" t="s">
        <v>7538</v>
      </c>
      <c r="PED3" t="s">
        <v>7539</v>
      </c>
      <c r="PEE3" t="s">
        <v>7540</v>
      </c>
      <c r="PEF3" t="s">
        <v>7541</v>
      </c>
      <c r="PEG3" t="s">
        <v>7542</v>
      </c>
      <c r="PEH3" t="s">
        <v>7543</v>
      </c>
      <c r="PEI3" t="s">
        <v>7544</v>
      </c>
      <c r="PEJ3" t="s">
        <v>7545</v>
      </c>
      <c r="PEK3" t="s">
        <v>7546</v>
      </c>
      <c r="PEL3" t="s">
        <v>1336</v>
      </c>
      <c r="PEM3" t="s">
        <v>5594</v>
      </c>
      <c r="PEN3" t="s">
        <v>44</v>
      </c>
      <c r="PEO3" t="s">
        <v>7547</v>
      </c>
      <c r="PEP3" t="s">
        <v>7548</v>
      </c>
      <c r="PEQ3" t="s">
        <v>7549</v>
      </c>
      <c r="PER3" t="s">
        <v>513</v>
      </c>
      <c r="PES3" t="s">
        <v>7550</v>
      </c>
      <c r="PET3" t="s">
        <v>1475</v>
      </c>
      <c r="PEU3" t="s">
        <v>7551</v>
      </c>
      <c r="PEV3" t="s">
        <v>7552</v>
      </c>
      <c r="PEW3" t="s">
        <v>7553</v>
      </c>
      <c r="PEX3" t="s">
        <v>7554</v>
      </c>
      <c r="PEY3" t="s">
        <v>7555</v>
      </c>
      <c r="PEZ3" t="s">
        <v>125</v>
      </c>
      <c r="PFA3" t="s">
        <v>2615</v>
      </c>
      <c r="PFB3" t="s">
        <v>7556</v>
      </c>
      <c r="PFC3" t="s">
        <v>7557</v>
      </c>
      <c r="PFD3" t="s">
        <v>7558</v>
      </c>
      <c r="PFE3" t="s">
        <v>7559</v>
      </c>
      <c r="PFF3" t="s">
        <v>7560</v>
      </c>
      <c r="PFG3" t="s">
        <v>255</v>
      </c>
      <c r="PFH3" t="s">
        <v>1336</v>
      </c>
      <c r="PFI3" t="s">
        <v>7561</v>
      </c>
      <c r="PFJ3" t="s">
        <v>255</v>
      </c>
      <c r="PFK3" t="s">
        <v>7562</v>
      </c>
      <c r="PFL3" t="s">
        <v>7563</v>
      </c>
      <c r="PFM3" t="s">
        <v>7564</v>
      </c>
      <c r="PFN3" t="s">
        <v>7565</v>
      </c>
      <c r="PFO3" t="s">
        <v>7566</v>
      </c>
      <c r="PFP3" t="s">
        <v>7567</v>
      </c>
      <c r="PFQ3" t="s">
        <v>7568</v>
      </c>
      <c r="PFR3" t="s">
        <v>7569</v>
      </c>
      <c r="PFS3" t="s">
        <v>515</v>
      </c>
      <c r="PFT3" t="s">
        <v>7570</v>
      </c>
      <c r="PFU3" t="s">
        <v>7571</v>
      </c>
      <c r="PFV3" t="s">
        <v>7572</v>
      </c>
      <c r="PFW3" t="s">
        <v>7573</v>
      </c>
      <c r="PFX3" t="s">
        <v>7574</v>
      </c>
      <c r="PFY3" t="s">
        <v>7575</v>
      </c>
      <c r="PFZ3" t="s">
        <v>7576</v>
      </c>
      <c r="PGA3" t="s">
        <v>7577</v>
      </c>
      <c r="PGB3" t="s">
        <v>7578</v>
      </c>
      <c r="PGC3" t="s">
        <v>7579</v>
      </c>
      <c r="PGD3" t="s">
        <v>7580</v>
      </c>
      <c r="PGE3" t="s">
        <v>1503</v>
      </c>
      <c r="PGF3" t="s">
        <v>7581</v>
      </c>
      <c r="PGG3" t="s">
        <v>7582</v>
      </c>
      <c r="PGH3" t="s">
        <v>7583</v>
      </c>
      <c r="PGI3" t="s">
        <v>7584</v>
      </c>
      <c r="PGJ3" t="s">
        <v>7585</v>
      </c>
      <c r="PGK3" t="s">
        <v>7576</v>
      </c>
      <c r="PGL3" t="s">
        <v>7586</v>
      </c>
      <c r="PGM3" t="s">
        <v>7587</v>
      </c>
      <c r="PGN3" t="s">
        <v>7588</v>
      </c>
      <c r="PGO3" t="s">
        <v>7589</v>
      </c>
      <c r="PGP3" t="s">
        <v>7590</v>
      </c>
      <c r="PGQ3" t="s">
        <v>7591</v>
      </c>
      <c r="PGR3" t="s">
        <v>7546</v>
      </c>
      <c r="PGS3" t="s">
        <v>1336</v>
      </c>
      <c r="PGT3" t="s">
        <v>7468</v>
      </c>
      <c r="PGU3" t="s">
        <v>511</v>
      </c>
      <c r="PGV3" t="s">
        <v>125</v>
      </c>
      <c r="PGW3" t="s">
        <v>7592</v>
      </c>
      <c r="PGX3" t="s">
        <v>7593</v>
      </c>
      <c r="PGY3" t="s">
        <v>7572</v>
      </c>
      <c r="PGZ3" t="s">
        <v>7573</v>
      </c>
      <c r="PHA3" t="s">
        <v>7574</v>
      </c>
      <c r="PHB3" t="s">
        <v>7575</v>
      </c>
      <c r="PHC3" t="s">
        <v>7576</v>
      </c>
      <c r="PHD3" t="s">
        <v>7577</v>
      </c>
      <c r="PHE3" t="s">
        <v>7578</v>
      </c>
      <c r="PHF3" t="s">
        <v>7579</v>
      </c>
      <c r="PHG3" t="s">
        <v>7580</v>
      </c>
      <c r="PHH3" t="s">
        <v>1503</v>
      </c>
      <c r="PHI3" t="s">
        <v>7594</v>
      </c>
      <c r="PHJ3" t="s">
        <v>7595</v>
      </c>
      <c r="PHK3" t="s">
        <v>7596</v>
      </c>
      <c r="PHL3" t="s">
        <v>7597</v>
      </c>
      <c r="PHM3" t="s">
        <v>7598</v>
      </c>
      <c r="PHN3" t="s">
        <v>7599</v>
      </c>
      <c r="PHO3" t="s">
        <v>7600</v>
      </c>
      <c r="PHP3" t="s">
        <v>7588</v>
      </c>
      <c r="PHQ3" t="s">
        <v>7601</v>
      </c>
      <c r="PHR3" t="s">
        <v>7602</v>
      </c>
      <c r="PHS3" t="s">
        <v>7603</v>
      </c>
      <c r="PHT3" t="s">
        <v>7604</v>
      </c>
      <c r="PHU3" t="s">
        <v>7605</v>
      </c>
      <c r="PHV3" t="s">
        <v>7606</v>
      </c>
      <c r="PHW3" t="s">
        <v>7607</v>
      </c>
      <c r="PHX3" t="s">
        <v>7608</v>
      </c>
      <c r="PHY3" t="s">
        <v>7609</v>
      </c>
      <c r="PHZ3" t="s">
        <v>7610</v>
      </c>
      <c r="PIA3" t="s">
        <v>7611</v>
      </c>
      <c r="PIB3" t="s">
        <v>7612</v>
      </c>
      <c r="PIC3" t="s">
        <v>7613</v>
      </c>
      <c r="PID3" t="s">
        <v>7614</v>
      </c>
      <c r="PIE3" t="s">
        <v>7615</v>
      </c>
      <c r="PIF3" t="s">
        <v>7616</v>
      </c>
      <c r="PIG3" t="s">
        <v>7617</v>
      </c>
      <c r="PIH3" t="s">
        <v>7618</v>
      </c>
      <c r="PII3" t="s">
        <v>7590</v>
      </c>
      <c r="PIJ3" t="s">
        <v>7591</v>
      </c>
      <c r="PIK3" t="s">
        <v>7546</v>
      </c>
      <c r="PIL3" t="s">
        <v>1336</v>
      </c>
      <c r="PIM3" t="s">
        <v>7468</v>
      </c>
      <c r="PIN3" t="s">
        <v>511</v>
      </c>
      <c r="PIO3" t="s">
        <v>125</v>
      </c>
      <c r="PIP3" t="s">
        <v>7619</v>
      </c>
      <c r="PIQ3" t="s">
        <v>7620</v>
      </c>
      <c r="PIR3" t="s">
        <v>7621</v>
      </c>
      <c r="PIS3" t="s">
        <v>6335</v>
      </c>
      <c r="PIT3" t="s">
        <v>7622</v>
      </c>
      <c r="PIU3" t="s">
        <v>7623</v>
      </c>
      <c r="PIV3" t="s">
        <v>7624</v>
      </c>
      <c r="PIW3" t="s">
        <v>7625</v>
      </c>
      <c r="PIX3" t="s">
        <v>7626</v>
      </c>
      <c r="PIY3" t="s">
        <v>7627</v>
      </c>
      <c r="PIZ3" t="s">
        <v>7628</v>
      </c>
      <c r="PJA3" t="s">
        <v>7629</v>
      </c>
      <c r="PJB3" t="s">
        <v>2612</v>
      </c>
      <c r="PJC3" t="s">
        <v>7630</v>
      </c>
      <c r="PJD3" t="s">
        <v>2612</v>
      </c>
      <c r="PJE3" t="s">
        <v>7631</v>
      </c>
      <c r="PJF3" t="s">
        <v>7632</v>
      </c>
      <c r="PJG3" t="s">
        <v>7633</v>
      </c>
      <c r="PJH3" t="s">
        <v>7634</v>
      </c>
      <c r="PJI3" t="s">
        <v>7635</v>
      </c>
      <c r="PJJ3" t="s">
        <v>7636</v>
      </c>
      <c r="PJK3" t="s">
        <v>7637</v>
      </c>
      <c r="PJL3" t="s">
        <v>7638</v>
      </c>
      <c r="PJM3" t="s">
        <v>4518</v>
      </c>
      <c r="PJN3" t="s">
        <v>254</v>
      </c>
      <c r="PJO3" t="s">
        <v>44</v>
      </c>
      <c r="PJP3" t="s">
        <v>125</v>
      </c>
      <c r="PJQ3" t="s">
        <v>7639</v>
      </c>
      <c r="PJR3" t="s">
        <v>7640</v>
      </c>
      <c r="PJS3" t="s">
        <v>6360</v>
      </c>
      <c r="PJT3" t="s">
        <v>7641</v>
      </c>
      <c r="PJU3" t="s">
        <v>7642</v>
      </c>
      <c r="PJV3" t="s">
        <v>7643</v>
      </c>
      <c r="PJW3" t="s">
        <v>7644</v>
      </c>
      <c r="PJX3" t="s">
        <v>44</v>
      </c>
      <c r="PJY3" t="s">
        <v>7645</v>
      </c>
      <c r="PJZ3" t="s">
        <v>7646</v>
      </c>
      <c r="PKA3" t="s">
        <v>7647</v>
      </c>
      <c r="PKB3" t="s">
        <v>7648</v>
      </c>
      <c r="PKC3" t="s">
        <v>7649</v>
      </c>
      <c r="PKD3" t="s">
        <v>44</v>
      </c>
      <c r="PKE3" t="s">
        <v>7650</v>
      </c>
      <c r="PKF3" t="s">
        <v>7651</v>
      </c>
      <c r="PKG3" t="s">
        <v>7652</v>
      </c>
      <c r="PKH3" t="s">
        <v>7653</v>
      </c>
      <c r="PKI3" t="s">
        <v>7654</v>
      </c>
      <c r="PKJ3" t="s">
        <v>7655</v>
      </c>
      <c r="PKK3" t="s">
        <v>7656</v>
      </c>
      <c r="PKL3" t="s">
        <v>7657</v>
      </c>
      <c r="PKM3" t="s">
        <v>7658</v>
      </c>
      <c r="PKN3" t="s">
        <v>7659</v>
      </c>
      <c r="PKO3" t="s">
        <v>7660</v>
      </c>
      <c r="PKP3" t="s">
        <v>7661</v>
      </c>
      <c r="PKQ3" t="s">
        <v>7662</v>
      </c>
      <c r="PKR3" t="s">
        <v>7663</v>
      </c>
      <c r="PKS3" t="s">
        <v>7664</v>
      </c>
      <c r="PKT3" t="s">
        <v>7561</v>
      </c>
      <c r="PKU3" t="s">
        <v>255</v>
      </c>
      <c r="PKV3" t="s">
        <v>7665</v>
      </c>
      <c r="PKW3" t="s">
        <v>7666</v>
      </c>
      <c r="PKX3" t="s">
        <v>7667</v>
      </c>
      <c r="PKY3" t="s">
        <v>44</v>
      </c>
      <c r="PKZ3" t="s">
        <v>7668</v>
      </c>
      <c r="PLA3" t="s">
        <v>7669</v>
      </c>
      <c r="PLB3" t="s">
        <v>7670</v>
      </c>
      <c r="PLC3" t="s">
        <v>6981</v>
      </c>
      <c r="PLD3" t="s">
        <v>6982</v>
      </c>
      <c r="PLE3" t="s">
        <v>7671</v>
      </c>
      <c r="PLF3" t="s">
        <v>7672</v>
      </c>
      <c r="PLG3" t="s">
        <v>7673</v>
      </c>
      <c r="PLH3" t="s">
        <v>186</v>
      </c>
      <c r="PLI3" t="s">
        <v>6991</v>
      </c>
      <c r="PLJ3" t="s">
        <v>7674</v>
      </c>
      <c r="PLK3" t="s">
        <v>6993</v>
      </c>
      <c r="PLL3" t="s">
        <v>7675</v>
      </c>
      <c r="PLM3" t="s">
        <v>186</v>
      </c>
      <c r="PLN3" t="s">
        <v>6995</v>
      </c>
      <c r="PLO3" t="s">
        <v>7676</v>
      </c>
      <c r="PLP3" t="s">
        <v>186</v>
      </c>
      <c r="PLQ3" t="s">
        <v>6997</v>
      </c>
      <c r="PLR3" t="s">
        <v>7677</v>
      </c>
      <c r="PLS3" t="s">
        <v>186</v>
      </c>
      <c r="PLT3" t="s">
        <v>7678</v>
      </c>
      <c r="PLU3" t="s">
        <v>7000</v>
      </c>
      <c r="PLV3" t="s">
        <v>7679</v>
      </c>
      <c r="PLW3" t="s">
        <v>186</v>
      </c>
      <c r="PLX3" t="s">
        <v>7002</v>
      </c>
      <c r="PLY3" t="s">
        <v>7680</v>
      </c>
      <c r="PLZ3" t="s">
        <v>186</v>
      </c>
      <c r="PMA3" t="s">
        <v>7681</v>
      </c>
      <c r="PMB3" t="s">
        <v>2495</v>
      </c>
      <c r="PMC3" t="s">
        <v>142</v>
      </c>
      <c r="PMD3" t="s">
        <v>7682</v>
      </c>
      <c r="PME3" t="s">
        <v>7030</v>
      </c>
      <c r="PMF3" t="s">
        <v>1503</v>
      </c>
      <c r="PMG3" t="s">
        <v>7683</v>
      </c>
      <c r="PMH3" t="s">
        <v>7031</v>
      </c>
      <c r="PMI3" t="s">
        <v>173</v>
      </c>
      <c r="PMJ3">
        <v>0</v>
      </c>
      <c r="PMK3">
        <v>0</v>
      </c>
      <c r="PML3" t="s">
        <v>174</v>
      </c>
      <c r="PMM3" t="s">
        <v>7032</v>
      </c>
      <c r="PMN3" t="s">
        <v>7033</v>
      </c>
      <c r="PMO3" t="s">
        <v>7034</v>
      </c>
      <c r="PMP3" t="s">
        <v>7684</v>
      </c>
      <c r="PMQ3" t="s">
        <v>3990</v>
      </c>
      <c r="PMR3" t="s">
        <v>142</v>
      </c>
      <c r="PMS3" t="s">
        <v>1442</v>
      </c>
      <c r="PMT3" t="s">
        <v>147</v>
      </c>
      <c r="PMU3" t="s">
        <v>3979</v>
      </c>
      <c r="PMV3" t="s">
        <v>3980</v>
      </c>
      <c r="PMW3" t="s">
        <v>7006</v>
      </c>
      <c r="PMX3" t="s">
        <v>7007</v>
      </c>
      <c r="PMY3" t="s">
        <v>7685</v>
      </c>
      <c r="PMZ3" t="s">
        <v>7686</v>
      </c>
      <c r="PNA3" t="s">
        <v>7687</v>
      </c>
      <c r="PNB3" t="s">
        <v>7688</v>
      </c>
      <c r="PNC3" t="s">
        <v>7689</v>
      </c>
      <c r="PND3" t="s">
        <v>7690</v>
      </c>
      <c r="PNE3" t="s">
        <v>7691</v>
      </c>
      <c r="PNF3" t="s">
        <v>7692</v>
      </c>
      <c r="PNG3" t="s">
        <v>7693</v>
      </c>
      <c r="PNH3" t="s">
        <v>186</v>
      </c>
      <c r="PNI3" t="s">
        <v>7037</v>
      </c>
      <c r="PNJ3" t="s">
        <v>7694</v>
      </c>
      <c r="PNK3" t="s">
        <v>7695</v>
      </c>
      <c r="PNL3" t="s">
        <v>7696</v>
      </c>
      <c r="PNM3" t="s">
        <v>7697</v>
      </c>
      <c r="PNN3" t="s">
        <v>7042</v>
      </c>
      <c r="PNO3" t="s">
        <v>7043</v>
      </c>
      <c r="PNP3" t="s">
        <v>4169</v>
      </c>
      <c r="PNQ3" t="s">
        <v>7044</v>
      </c>
      <c r="PNR3" t="s">
        <v>7045</v>
      </c>
      <c r="PNS3" t="s">
        <v>7046</v>
      </c>
      <c r="PNT3" t="s">
        <v>7047</v>
      </c>
      <c r="PNU3" t="s">
        <v>7048</v>
      </c>
      <c r="PNV3" t="s">
        <v>7049</v>
      </c>
      <c r="PNW3" t="s">
        <v>7050</v>
      </c>
      <c r="PNX3" t="s">
        <v>7051</v>
      </c>
      <c r="PNY3" t="s">
        <v>164</v>
      </c>
      <c r="PNZ3" t="s">
        <v>7698</v>
      </c>
      <c r="POA3" t="s">
        <v>7053</v>
      </c>
      <c r="POB3" t="s">
        <v>7699</v>
      </c>
      <c r="POC3" t="s">
        <v>154</v>
      </c>
      <c r="POD3" t="s">
        <v>4161</v>
      </c>
      <c r="POE3" t="s">
        <v>4162</v>
      </c>
      <c r="POF3" t="s">
        <v>156</v>
      </c>
      <c r="POG3" t="s">
        <v>3883</v>
      </c>
      <c r="POH3" t="s">
        <v>7699</v>
      </c>
      <c r="POI3" t="s">
        <v>162</v>
      </c>
      <c r="POJ3" t="s">
        <v>163</v>
      </c>
      <c r="POK3" t="s">
        <v>164</v>
      </c>
      <c r="POL3" t="s">
        <v>165</v>
      </c>
      <c r="POM3" t="s">
        <v>7054</v>
      </c>
      <c r="PON3" t="s">
        <v>7055</v>
      </c>
      <c r="POO3" t="s">
        <v>7700</v>
      </c>
      <c r="POP3" t="s">
        <v>7701</v>
      </c>
      <c r="POQ3" t="s">
        <v>7702</v>
      </c>
      <c r="POR3">
        <v>0</v>
      </c>
      <c r="POS3" t="s">
        <v>7703</v>
      </c>
      <c r="POT3" t="s">
        <v>3990</v>
      </c>
      <c r="POU3" t="s">
        <v>142</v>
      </c>
      <c r="POV3" t="s">
        <v>1442</v>
      </c>
      <c r="POW3" t="s">
        <v>7704</v>
      </c>
      <c r="POX3" t="s">
        <v>7705</v>
      </c>
      <c r="POY3" t="s">
        <v>229</v>
      </c>
      <c r="POZ3" t="s">
        <v>7706</v>
      </c>
      <c r="PPA3" t="s">
        <v>7707</v>
      </c>
      <c r="PPB3" t="s">
        <v>7708</v>
      </c>
      <c r="PPC3" t="s">
        <v>7709</v>
      </c>
      <c r="PPD3" t="s">
        <v>7710</v>
      </c>
      <c r="PPE3" t="s">
        <v>7711</v>
      </c>
      <c r="PPF3" t="s">
        <v>7712</v>
      </c>
      <c r="PPG3" t="s">
        <v>7713</v>
      </c>
      <c r="PPH3" t="s">
        <v>7714</v>
      </c>
      <c r="PPI3" t="s">
        <v>44</v>
      </c>
      <c r="PPJ3" t="s">
        <v>7715</v>
      </c>
      <c r="PPK3" t="s">
        <v>7716</v>
      </c>
      <c r="PPL3" t="s">
        <v>44</v>
      </c>
      <c r="PPM3" t="s">
        <v>7717</v>
      </c>
      <c r="PPN3" t="s">
        <v>7718</v>
      </c>
      <c r="PPO3" t="s">
        <v>7719</v>
      </c>
      <c r="PPP3" t="s">
        <v>7720</v>
      </c>
      <c r="PPQ3" t="s">
        <v>7721</v>
      </c>
      <c r="PPR3" t="s">
        <v>7722</v>
      </c>
      <c r="PPS3" t="s">
        <v>7723</v>
      </c>
      <c r="PPT3" t="s">
        <v>7724</v>
      </c>
      <c r="PPU3" t="s">
        <v>7725</v>
      </c>
      <c r="PPV3" t="s">
        <v>7726</v>
      </c>
      <c r="PPW3" t="s">
        <v>7727</v>
      </c>
      <c r="PPX3" t="s">
        <v>7728</v>
      </c>
      <c r="PPY3" t="s">
        <v>7729</v>
      </c>
      <c r="PPZ3" t="s">
        <v>7730</v>
      </c>
      <c r="PQA3" t="s">
        <v>7731</v>
      </c>
      <c r="PQB3" t="s">
        <v>7732</v>
      </c>
      <c r="PQC3" t="s">
        <v>7733</v>
      </c>
      <c r="PQD3" t="s">
        <v>7734</v>
      </c>
      <c r="PQE3" t="s">
        <v>7735</v>
      </c>
      <c r="PQF3" t="s">
        <v>7736</v>
      </c>
      <c r="PQG3" t="s">
        <v>7737</v>
      </c>
      <c r="PQH3" t="s">
        <v>7738</v>
      </c>
      <c r="PQI3" t="s">
        <v>5594</v>
      </c>
      <c r="PQJ3" t="s">
        <v>7739</v>
      </c>
      <c r="PQK3" t="s">
        <v>7740</v>
      </c>
      <c r="PQL3" t="s">
        <v>7741</v>
      </c>
      <c r="PQM3" t="s">
        <v>7724</v>
      </c>
      <c r="PQN3" t="s">
        <v>7742</v>
      </c>
      <c r="PQO3" t="s">
        <v>7743</v>
      </c>
      <c r="PQP3" t="s">
        <v>7744</v>
      </c>
      <c r="PQQ3" t="s">
        <v>7745</v>
      </c>
      <c r="PQR3" t="s">
        <v>44</v>
      </c>
      <c r="PQS3" t="s">
        <v>7746</v>
      </c>
      <c r="PQT3" t="s">
        <v>7747</v>
      </c>
      <c r="PQU3" t="s">
        <v>7748</v>
      </c>
      <c r="PQV3" t="s">
        <v>7749</v>
      </c>
      <c r="PQW3" t="s">
        <v>7750</v>
      </c>
      <c r="PQX3" t="s">
        <v>7751</v>
      </c>
      <c r="PQY3" t="s">
        <v>7752</v>
      </c>
      <c r="PQZ3" t="s">
        <v>7753</v>
      </c>
      <c r="PRA3">
        <v>3</v>
      </c>
      <c r="PRB3">
        <v>4</v>
      </c>
      <c r="PRC3">
        <v>5</v>
      </c>
      <c r="PRD3">
        <v>6</v>
      </c>
      <c r="PRE3">
        <v>1</v>
      </c>
      <c r="PRF3" t="s">
        <v>7754</v>
      </c>
      <c r="PRG3" t="s">
        <v>7755</v>
      </c>
      <c r="PRH3">
        <v>3</v>
      </c>
      <c r="PRI3">
        <v>4</v>
      </c>
      <c r="PRJ3">
        <v>1</v>
      </c>
      <c r="PRK3" t="s">
        <v>7756</v>
      </c>
      <c r="PRL3" t="s">
        <v>7757</v>
      </c>
      <c r="PRM3" t="s">
        <v>7758</v>
      </c>
      <c r="PRN3" t="s">
        <v>7759</v>
      </c>
      <c r="PRO3" t="s">
        <v>7760</v>
      </c>
      <c r="PRP3" t="s">
        <v>7761</v>
      </c>
      <c r="PRQ3" t="s">
        <v>7762</v>
      </c>
      <c r="PRR3" t="s">
        <v>7763</v>
      </c>
      <c r="PRS3" t="s">
        <v>7764</v>
      </c>
      <c r="PRT3" t="s">
        <v>7765</v>
      </c>
      <c r="PRU3" t="s">
        <v>7766</v>
      </c>
      <c r="PRV3" t="s">
        <v>7767</v>
      </c>
      <c r="PRW3" t="s">
        <v>44</v>
      </c>
      <c r="PRX3" t="s">
        <v>125</v>
      </c>
      <c r="PRY3" t="s">
        <v>7768</v>
      </c>
      <c r="PRZ3" t="s">
        <v>511</v>
      </c>
      <c r="PSA3" t="s">
        <v>254</v>
      </c>
      <c r="PSB3" t="s">
        <v>7769</v>
      </c>
      <c r="PSC3" t="s">
        <v>7770</v>
      </c>
      <c r="PSD3" t="s">
        <v>7771</v>
      </c>
      <c r="PSE3" t="s">
        <v>4693</v>
      </c>
      <c r="PSF3" t="s">
        <v>7772</v>
      </c>
      <c r="PSG3" t="s">
        <v>7773</v>
      </c>
      <c r="PSH3" t="s">
        <v>7774</v>
      </c>
      <c r="PSI3" t="s">
        <v>1692</v>
      </c>
      <c r="PSJ3" t="s">
        <v>266</v>
      </c>
      <c r="PSK3" t="s">
        <v>267</v>
      </c>
      <c r="PSL3" t="s">
        <v>7775</v>
      </c>
      <c r="PSM3" t="s">
        <v>7776</v>
      </c>
      <c r="PSN3" t="s">
        <v>7777</v>
      </c>
      <c r="PSO3" t="s">
        <v>7778</v>
      </c>
      <c r="PSP3" t="s">
        <v>7779</v>
      </c>
      <c r="PSQ3" t="s">
        <v>7780</v>
      </c>
      <c r="PSR3" t="s">
        <v>1309</v>
      </c>
      <c r="PSS3" t="s">
        <v>7781</v>
      </c>
      <c r="PST3" t="s">
        <v>7782</v>
      </c>
      <c r="PSU3" t="s">
        <v>7783</v>
      </c>
      <c r="PSV3" t="s">
        <v>7784</v>
      </c>
      <c r="PSW3" t="s">
        <v>7785</v>
      </c>
      <c r="PSX3" t="s">
        <v>7780</v>
      </c>
      <c r="PSY3" t="s">
        <v>1309</v>
      </c>
      <c r="PSZ3" t="s">
        <v>1310</v>
      </c>
      <c r="PTA3" t="s">
        <v>1691</v>
      </c>
      <c r="PTB3" t="s">
        <v>7786</v>
      </c>
      <c r="PTC3" t="s">
        <v>7783</v>
      </c>
      <c r="PTD3" t="s">
        <v>7787</v>
      </c>
      <c r="PTE3" t="s">
        <v>7788</v>
      </c>
      <c r="PTF3" t="s">
        <v>7789</v>
      </c>
      <c r="PTG3" t="s">
        <v>7790</v>
      </c>
      <c r="PTH3" t="s">
        <v>7780</v>
      </c>
      <c r="PTI3" t="s">
        <v>1309</v>
      </c>
      <c r="PTJ3" t="s">
        <v>1310</v>
      </c>
      <c r="PTK3" t="s">
        <v>1691</v>
      </c>
      <c r="PTL3" t="s">
        <v>266</v>
      </c>
      <c r="PTM3" t="s">
        <v>1692</v>
      </c>
      <c r="PTN3" t="s">
        <v>7791</v>
      </c>
      <c r="PTO3" t="s">
        <v>7779</v>
      </c>
      <c r="PTP3" t="s">
        <v>7780</v>
      </c>
      <c r="PTQ3" t="s">
        <v>1309</v>
      </c>
      <c r="PTR3" t="s">
        <v>7792</v>
      </c>
      <c r="PTS3" t="s">
        <v>7778</v>
      </c>
      <c r="PTT3" t="s">
        <v>7780</v>
      </c>
      <c r="PTU3" t="s">
        <v>1309</v>
      </c>
      <c r="PTV3" t="s">
        <v>7793</v>
      </c>
      <c r="PTW3" t="s">
        <v>7794</v>
      </c>
      <c r="PTX3" t="s">
        <v>7780</v>
      </c>
      <c r="PTY3" t="s">
        <v>1309</v>
      </c>
      <c r="PTZ3" t="s">
        <v>7795</v>
      </c>
      <c r="PUA3" t="s">
        <v>7796</v>
      </c>
      <c r="PUB3" t="s">
        <v>7797</v>
      </c>
      <c r="PUC3" t="s">
        <v>7798</v>
      </c>
      <c r="PUD3" t="s">
        <v>7799</v>
      </c>
      <c r="PUE3" t="s">
        <v>7800</v>
      </c>
      <c r="PUF3" t="s">
        <v>7801</v>
      </c>
      <c r="PUG3" t="s">
        <v>7780</v>
      </c>
      <c r="PUH3" t="s">
        <v>1309</v>
      </c>
      <c r="PUI3" t="s">
        <v>7802</v>
      </c>
      <c r="PUJ3" t="s">
        <v>7803</v>
      </c>
      <c r="PUK3" t="s">
        <v>7804</v>
      </c>
      <c r="PUL3" t="s">
        <v>7805</v>
      </c>
      <c r="PUM3" t="s">
        <v>7806</v>
      </c>
      <c r="PUN3" t="s">
        <v>7807</v>
      </c>
      <c r="PUO3" t="s">
        <v>7808</v>
      </c>
      <c r="PUP3" t="s">
        <v>7809</v>
      </c>
      <c r="PUQ3" t="s">
        <v>7810</v>
      </c>
      <c r="PUR3" t="s">
        <v>7811</v>
      </c>
      <c r="PUS3" t="s">
        <v>7812</v>
      </c>
      <c r="PUT3" t="s">
        <v>7813</v>
      </c>
      <c r="PUU3" t="s">
        <v>7814</v>
      </c>
      <c r="PUV3" t="s">
        <v>7815</v>
      </c>
      <c r="PUW3" t="s">
        <v>7816</v>
      </c>
      <c r="PUX3" t="s">
        <v>7817</v>
      </c>
      <c r="PUY3" t="s">
        <v>7818</v>
      </c>
      <c r="PUZ3" t="s">
        <v>7819</v>
      </c>
      <c r="PVA3" t="s">
        <v>7820</v>
      </c>
      <c r="PVB3" t="s">
        <v>7821</v>
      </c>
      <c r="PVC3" t="s">
        <v>7822</v>
      </c>
      <c r="PVD3" t="s">
        <v>7823</v>
      </c>
      <c r="PVE3" t="s">
        <v>7824</v>
      </c>
      <c r="PVF3" t="s">
        <v>7825</v>
      </c>
      <c r="PVG3" t="s">
        <v>7826</v>
      </c>
      <c r="PVH3" t="s">
        <v>7827</v>
      </c>
      <c r="PVI3" t="s">
        <v>7828</v>
      </c>
      <c r="PVJ3" t="s">
        <v>7829</v>
      </c>
      <c r="PVK3" t="s">
        <v>7830</v>
      </c>
      <c r="PVL3" t="s">
        <v>7831</v>
      </c>
      <c r="PVM3" t="s">
        <v>7832</v>
      </c>
      <c r="PVN3" t="s">
        <v>7833</v>
      </c>
      <c r="PVO3" t="s">
        <v>7834</v>
      </c>
      <c r="PVP3" t="s">
        <v>7835</v>
      </c>
      <c r="PVQ3" t="s">
        <v>125</v>
      </c>
      <c r="PVR3" t="s">
        <v>7836</v>
      </c>
      <c r="PVS3" t="s">
        <v>7837</v>
      </c>
      <c r="PVT3" t="s">
        <v>7838</v>
      </c>
      <c r="PVU3" t="s">
        <v>7839</v>
      </c>
      <c r="PVV3" t="s">
        <v>7840</v>
      </c>
      <c r="PVW3" t="s">
        <v>7841</v>
      </c>
      <c r="PVX3" t="s">
        <v>7842</v>
      </c>
      <c r="PVY3" t="s">
        <v>7843</v>
      </c>
      <c r="PVZ3" t="s">
        <v>7844</v>
      </c>
      <c r="PWA3" t="s">
        <v>7845</v>
      </c>
      <c r="PWB3" t="s">
        <v>7846</v>
      </c>
      <c r="PWC3" t="s">
        <v>7847</v>
      </c>
      <c r="PWD3" t="s">
        <v>7848</v>
      </c>
      <c r="PWE3" t="s">
        <v>7849</v>
      </c>
      <c r="PWF3" t="s">
        <v>7850</v>
      </c>
      <c r="PWG3" t="s">
        <v>7851</v>
      </c>
      <c r="PWH3" t="s">
        <v>7852</v>
      </c>
      <c r="PWI3" t="s">
        <v>7853</v>
      </c>
      <c r="PWJ3" t="s">
        <v>7854</v>
      </c>
      <c r="PWK3" t="s">
        <v>7855</v>
      </c>
      <c r="PWL3" t="s">
        <v>7856</v>
      </c>
      <c r="PWM3" t="s">
        <v>7857</v>
      </c>
      <c r="PWN3" t="s">
        <v>7858</v>
      </c>
      <c r="PWO3" t="s">
        <v>7859</v>
      </c>
      <c r="PWP3" t="s">
        <v>44</v>
      </c>
      <c r="PWQ3" t="s">
        <v>7860</v>
      </c>
      <c r="PWR3" t="s">
        <v>7861</v>
      </c>
      <c r="PWS3" t="s">
        <v>7862</v>
      </c>
      <c r="PWT3" t="s">
        <v>7863</v>
      </c>
      <c r="PWU3" t="s">
        <v>7864</v>
      </c>
      <c r="PWV3" t="s">
        <v>7865</v>
      </c>
      <c r="PWW3" t="s">
        <v>44</v>
      </c>
      <c r="PWX3" t="s">
        <v>7866</v>
      </c>
      <c r="PWY3" t="s">
        <v>7867</v>
      </c>
      <c r="PWZ3" t="s">
        <v>7868</v>
      </c>
      <c r="PXA3" t="s">
        <v>7869</v>
      </c>
      <c r="PXB3" t="s">
        <v>7870</v>
      </c>
      <c r="PXC3" t="s">
        <v>7871</v>
      </c>
      <c r="PXD3" t="s">
        <v>7872</v>
      </c>
      <c r="PXE3" t="s">
        <v>7873</v>
      </c>
      <c r="PXF3" t="s">
        <v>7874</v>
      </c>
      <c r="PXG3" t="s">
        <v>7875</v>
      </c>
      <c r="PXH3" t="s">
        <v>7876</v>
      </c>
      <c r="PXI3" t="s">
        <v>7877</v>
      </c>
      <c r="PXJ3" t="s">
        <v>7878</v>
      </c>
      <c r="PXK3" t="s">
        <v>7879</v>
      </c>
      <c r="PXL3" t="s">
        <v>7880</v>
      </c>
      <c r="PXM3" t="s">
        <v>7881</v>
      </c>
      <c r="PXN3" t="s">
        <v>7882</v>
      </c>
      <c r="PXO3" t="s">
        <v>7883</v>
      </c>
      <c r="PXP3" t="s">
        <v>7884</v>
      </c>
      <c r="PXQ3" t="s">
        <v>44</v>
      </c>
      <c r="PXR3" t="s">
        <v>429</v>
      </c>
      <c r="PXS3" t="s">
        <v>7885</v>
      </c>
      <c r="PXT3" t="s">
        <v>7886</v>
      </c>
      <c r="PXU3" t="s">
        <v>7887</v>
      </c>
      <c r="PXV3" t="s">
        <v>7888</v>
      </c>
      <c r="PXW3" t="s">
        <v>7889</v>
      </c>
      <c r="PXX3" t="s">
        <v>7890</v>
      </c>
      <c r="PXY3" t="s">
        <v>7891</v>
      </c>
      <c r="PXZ3" t="s">
        <v>7892</v>
      </c>
      <c r="PYA3" t="s">
        <v>7893</v>
      </c>
      <c r="PYB3" t="s">
        <v>7894</v>
      </c>
      <c r="PYC3" t="s">
        <v>7895</v>
      </c>
      <c r="PYD3" t="s">
        <v>7896</v>
      </c>
      <c r="PYE3" t="s">
        <v>1503</v>
      </c>
      <c r="PYF3" t="s">
        <v>932</v>
      </c>
      <c r="PYG3" t="s">
        <v>1345</v>
      </c>
      <c r="PYH3" t="s">
        <v>7897</v>
      </c>
      <c r="PYI3" t="s">
        <v>7898</v>
      </c>
      <c r="PYJ3" t="s">
        <v>7899</v>
      </c>
      <c r="PYK3" t="s">
        <v>7900</v>
      </c>
      <c r="PYL3" t="s">
        <v>7901</v>
      </c>
      <c r="PYM3" t="s">
        <v>7902</v>
      </c>
      <c r="PYN3" t="s">
        <v>7903</v>
      </c>
      <c r="PYO3" t="s">
        <v>7904</v>
      </c>
      <c r="PYP3" t="s">
        <v>7905</v>
      </c>
      <c r="PYQ3" t="s">
        <v>7906</v>
      </c>
      <c r="PYR3" t="s">
        <v>7907</v>
      </c>
      <c r="PYS3" t="s">
        <v>7908</v>
      </c>
      <c r="PYT3" t="s">
        <v>7909</v>
      </c>
      <c r="PYU3" t="s">
        <v>7910</v>
      </c>
      <c r="PYV3" t="s">
        <v>7911</v>
      </c>
      <c r="PYW3" t="s">
        <v>7912</v>
      </c>
      <c r="PYX3" t="s">
        <v>7913</v>
      </c>
      <c r="PYY3" t="s">
        <v>7914</v>
      </c>
      <c r="PYZ3" t="s">
        <v>7915</v>
      </c>
      <c r="PZA3" t="s">
        <v>7916</v>
      </c>
      <c r="PZB3" t="s">
        <v>7917</v>
      </c>
      <c r="PZC3" t="s">
        <v>7918</v>
      </c>
      <c r="PZD3" t="s">
        <v>7919</v>
      </c>
      <c r="PZE3" t="s">
        <v>7920</v>
      </c>
      <c r="PZF3" t="s">
        <v>7921</v>
      </c>
      <c r="PZG3" t="s">
        <v>7918</v>
      </c>
      <c r="PZH3" t="s">
        <v>7919</v>
      </c>
      <c r="PZI3" t="s">
        <v>7922</v>
      </c>
      <c r="PZJ3" t="s">
        <v>7923</v>
      </c>
      <c r="PZK3" t="s">
        <v>7924</v>
      </c>
      <c r="PZL3" t="s">
        <v>7925</v>
      </c>
      <c r="PZM3" t="s">
        <v>7926</v>
      </c>
      <c r="PZN3" t="s">
        <v>7927</v>
      </c>
      <c r="PZO3" t="s">
        <v>7928</v>
      </c>
      <c r="PZP3" t="s">
        <v>7929</v>
      </c>
      <c r="PZQ3" t="s">
        <v>7930</v>
      </c>
      <c r="PZR3" t="s">
        <v>7931</v>
      </c>
      <c r="PZS3" t="s">
        <v>7932</v>
      </c>
      <c r="PZT3" t="s">
        <v>7933</v>
      </c>
      <c r="PZU3" t="s">
        <v>7934</v>
      </c>
      <c r="PZV3" t="s">
        <v>7935</v>
      </c>
      <c r="PZW3" t="s">
        <v>7936</v>
      </c>
      <c r="PZX3" t="s">
        <v>7230</v>
      </c>
      <c r="PZY3" t="s">
        <v>7937</v>
      </c>
      <c r="PZZ3" t="s">
        <v>7938</v>
      </c>
      <c r="QAA3" t="s">
        <v>7939</v>
      </c>
      <c r="QAB3" t="s">
        <v>7940</v>
      </c>
      <c r="QAC3" t="s">
        <v>7941</v>
      </c>
      <c r="QAD3" t="s">
        <v>3426</v>
      </c>
      <c r="QAE3" t="s">
        <v>7942</v>
      </c>
      <c r="QAF3" t="s">
        <v>3269</v>
      </c>
      <c r="QAG3" t="s">
        <v>7943</v>
      </c>
      <c r="QAH3" t="s">
        <v>7944</v>
      </c>
      <c r="QAI3" t="s">
        <v>7945</v>
      </c>
      <c r="QAJ3" t="s">
        <v>7946</v>
      </c>
      <c r="QAK3" t="s">
        <v>7947</v>
      </c>
      <c r="QAL3" t="s">
        <v>7948</v>
      </c>
      <c r="QAM3" t="s">
        <v>7949</v>
      </c>
      <c r="QAN3" t="s">
        <v>7950</v>
      </c>
      <c r="QAO3" t="s">
        <v>7951</v>
      </c>
      <c r="QAP3" t="s">
        <v>7952</v>
      </c>
      <c r="QAQ3" t="s">
        <v>7953</v>
      </c>
      <c r="QAR3" t="s">
        <v>7954</v>
      </c>
      <c r="QAS3" t="s">
        <v>7955</v>
      </c>
      <c r="QAT3" t="s">
        <v>7956</v>
      </c>
      <c r="QAU3" t="s">
        <v>7957</v>
      </c>
      <c r="QAV3" t="s">
        <v>7958</v>
      </c>
      <c r="QAW3" t="s">
        <v>7959</v>
      </c>
      <c r="QAX3" t="s">
        <v>7960</v>
      </c>
      <c r="QAY3" t="s">
        <v>7961</v>
      </c>
      <c r="QAZ3" t="s">
        <v>1693</v>
      </c>
      <c r="QBA3" t="s">
        <v>289</v>
      </c>
      <c r="QBB3" t="s">
        <v>7962</v>
      </c>
      <c r="QBC3" t="s">
        <v>7963</v>
      </c>
      <c r="QBD3" t="s">
        <v>7964</v>
      </c>
      <c r="QBE3" t="s">
        <v>7965</v>
      </c>
      <c r="QBF3" t="s">
        <v>7966</v>
      </c>
      <c r="QBG3" t="s">
        <v>7967</v>
      </c>
      <c r="QBH3" t="s">
        <v>44</v>
      </c>
      <c r="QBI3" t="s">
        <v>7968</v>
      </c>
      <c r="QBJ3" t="s">
        <v>7969</v>
      </c>
      <c r="QBK3" t="s">
        <v>7770</v>
      </c>
      <c r="QBL3" t="s">
        <v>7970</v>
      </c>
      <c r="QBM3" t="s">
        <v>7971</v>
      </c>
      <c r="QBN3" t="s">
        <v>7972</v>
      </c>
      <c r="QBO3" t="s">
        <v>7973</v>
      </c>
      <c r="QBP3" t="s">
        <v>7974</v>
      </c>
      <c r="QBQ3" t="s">
        <v>7975</v>
      </c>
      <c r="QBR3" t="s">
        <v>7976</v>
      </c>
      <c r="QBS3" t="s">
        <v>7977</v>
      </c>
      <c r="QBT3" t="s">
        <v>7978</v>
      </c>
      <c r="QBU3" t="s">
        <v>7979</v>
      </c>
      <c r="QBV3" t="s">
        <v>7980</v>
      </c>
      <c r="QBW3" t="s">
        <v>7981</v>
      </c>
      <c r="QBX3" t="s">
        <v>7982</v>
      </c>
      <c r="QBY3" t="s">
        <v>7983</v>
      </c>
      <c r="QBZ3" t="s">
        <v>7984</v>
      </c>
      <c r="QCA3" t="s">
        <v>7985</v>
      </c>
      <c r="QCB3" t="s">
        <v>44</v>
      </c>
      <c r="QCC3" t="s">
        <v>7986</v>
      </c>
      <c r="QCD3" t="s">
        <v>836</v>
      </c>
      <c r="QCE3" t="s">
        <v>7987</v>
      </c>
      <c r="QCF3" t="s">
        <v>7988</v>
      </c>
      <c r="QCG3" t="s">
        <v>7989</v>
      </c>
      <c r="QCH3" t="s">
        <v>7990</v>
      </c>
      <c r="QCI3" t="s">
        <v>7991</v>
      </c>
      <c r="QCJ3" t="s">
        <v>6776</v>
      </c>
      <c r="QCK3" t="s">
        <v>7992</v>
      </c>
      <c r="QCL3" t="s">
        <v>7993</v>
      </c>
      <c r="QCM3" t="s">
        <v>7994</v>
      </c>
      <c r="QCN3" t="s">
        <v>7995</v>
      </c>
      <c r="QCO3" t="s">
        <v>44</v>
      </c>
      <c r="QCP3" t="s">
        <v>7996</v>
      </c>
      <c r="QCQ3" t="s">
        <v>7997</v>
      </c>
      <c r="QCR3" t="s">
        <v>2088</v>
      </c>
      <c r="QCS3" t="s">
        <v>7998</v>
      </c>
      <c r="QCT3" t="s">
        <v>125</v>
      </c>
      <c r="QCU3" t="s">
        <v>126</v>
      </c>
      <c r="QCV3" t="s">
        <v>46</v>
      </c>
      <c r="QCW3" t="s">
        <v>7999</v>
      </c>
      <c r="QCX3" t="s">
        <v>8000</v>
      </c>
      <c r="QCY3" t="s">
        <v>8001</v>
      </c>
      <c r="QCZ3" t="s">
        <v>8002</v>
      </c>
      <c r="QDA3" t="s">
        <v>8003</v>
      </c>
      <c r="QDB3" t="s">
        <v>8004</v>
      </c>
      <c r="QDC3" t="s">
        <v>125</v>
      </c>
      <c r="QDD3" t="s">
        <v>126</v>
      </c>
      <c r="QDE3" t="s">
        <v>3896</v>
      </c>
      <c r="QDF3" t="s">
        <v>8005</v>
      </c>
      <c r="QDG3" t="s">
        <v>8006</v>
      </c>
      <c r="QDH3" t="s">
        <v>8007</v>
      </c>
      <c r="QDI3" t="s">
        <v>8008</v>
      </c>
      <c r="QDJ3" t="s">
        <v>8009</v>
      </c>
      <c r="QDK3" t="s">
        <v>8010</v>
      </c>
      <c r="QDL3" t="s">
        <v>8011</v>
      </c>
      <c r="QDM3" t="s">
        <v>8012</v>
      </c>
      <c r="QDN3" t="s">
        <v>8013</v>
      </c>
      <c r="QDO3" t="s">
        <v>8014</v>
      </c>
      <c r="QDP3" t="s">
        <v>8015</v>
      </c>
      <c r="QDQ3" t="s">
        <v>8016</v>
      </c>
      <c r="QDR3" t="s">
        <v>8017</v>
      </c>
      <c r="QDS3" t="s">
        <v>8018</v>
      </c>
      <c r="QDT3" t="s">
        <v>8019</v>
      </c>
      <c r="QDU3" t="s">
        <v>8020</v>
      </c>
      <c r="QDV3" t="s">
        <v>8021</v>
      </c>
      <c r="QDW3" t="s">
        <v>8011</v>
      </c>
      <c r="QDX3" t="s">
        <v>8022</v>
      </c>
      <c r="QDY3" t="s">
        <v>8023</v>
      </c>
      <c r="QDZ3" t="s">
        <v>8018</v>
      </c>
      <c r="QEA3" t="s">
        <v>8019</v>
      </c>
      <c r="QEB3" t="s">
        <v>8024</v>
      </c>
      <c r="QEC3" t="s">
        <v>8025</v>
      </c>
      <c r="QED3" t="s">
        <v>48</v>
      </c>
      <c r="QEE3" t="s">
        <v>49</v>
      </c>
      <c r="QEF3" t="s">
        <v>254</v>
      </c>
      <c r="QEG3" t="s">
        <v>896</v>
      </c>
      <c r="QEH3" t="s">
        <v>310</v>
      </c>
      <c r="QEI3" t="s">
        <v>1308</v>
      </c>
      <c r="QEJ3" t="s">
        <v>1309</v>
      </c>
      <c r="QEK3" t="s">
        <v>8026</v>
      </c>
      <c r="QEL3" t="s">
        <v>8027</v>
      </c>
      <c r="QEM3" t="s">
        <v>8028</v>
      </c>
      <c r="QEN3" t="s">
        <v>8029</v>
      </c>
      <c r="QEO3" t="s">
        <v>7211</v>
      </c>
      <c r="QEP3" t="s">
        <v>8030</v>
      </c>
      <c r="QEQ3" t="s">
        <v>7239</v>
      </c>
      <c r="QER3" t="s">
        <v>8031</v>
      </c>
      <c r="QES3" t="s">
        <v>8032</v>
      </c>
      <c r="QET3" t="s">
        <v>8033</v>
      </c>
      <c r="QEU3" t="s">
        <v>8034</v>
      </c>
      <c r="QEV3" t="s">
        <v>8035</v>
      </c>
      <c r="QEW3" t="s">
        <v>8036</v>
      </c>
      <c r="QEX3" t="s">
        <v>8037</v>
      </c>
      <c r="QEY3" t="s">
        <v>8038</v>
      </c>
      <c r="QEZ3" t="s">
        <v>8039</v>
      </c>
      <c r="QFA3" t="s">
        <v>8040</v>
      </c>
      <c r="QFB3" t="s">
        <v>8041</v>
      </c>
      <c r="QFC3" t="s">
        <v>8042</v>
      </c>
      <c r="QFD3" t="s">
        <v>8043</v>
      </c>
      <c r="QFE3" t="s">
        <v>8044</v>
      </c>
      <c r="QFF3" t="s">
        <v>8045</v>
      </c>
      <c r="QFG3" t="s">
        <v>8046</v>
      </c>
      <c r="QFH3" t="s">
        <v>5594</v>
      </c>
      <c r="QFI3" t="s">
        <v>44</v>
      </c>
      <c r="QFJ3" t="s">
        <v>8047</v>
      </c>
      <c r="QFK3" t="s">
        <v>8048</v>
      </c>
      <c r="QFL3" t="s">
        <v>8049</v>
      </c>
      <c r="QFM3" t="s">
        <v>8050</v>
      </c>
      <c r="QFN3" t="s">
        <v>8051</v>
      </c>
      <c r="QFO3" t="s">
        <v>8052</v>
      </c>
      <c r="QFP3" t="s">
        <v>8053</v>
      </c>
      <c r="QFQ3" t="s">
        <v>8054</v>
      </c>
      <c r="QFR3" t="s">
        <v>8055</v>
      </c>
      <c r="QFS3" t="s">
        <v>8056</v>
      </c>
      <c r="QFT3" t="s">
        <v>8057</v>
      </c>
      <c r="QFU3" t="s">
        <v>8058</v>
      </c>
      <c r="QFV3" t="s">
        <v>8059</v>
      </c>
      <c r="QFW3" t="s">
        <v>8060</v>
      </c>
      <c r="QFX3" t="s">
        <v>8061</v>
      </c>
      <c r="QFY3" t="s">
        <v>598</v>
      </c>
      <c r="QFZ3" t="s">
        <v>8062</v>
      </c>
      <c r="QGA3" t="s">
        <v>8063</v>
      </c>
      <c r="QGB3" t="s">
        <v>48</v>
      </c>
      <c r="QGC3" t="s">
        <v>8064</v>
      </c>
      <c r="QGD3" t="s">
        <v>8065</v>
      </c>
      <c r="QGE3" t="s">
        <v>8066</v>
      </c>
      <c r="QGF3" t="s">
        <v>8067</v>
      </c>
      <c r="QGG3" t="s">
        <v>8068</v>
      </c>
      <c r="QGH3" t="s">
        <v>8069</v>
      </c>
      <c r="QGI3" t="s">
        <v>8070</v>
      </c>
      <c r="QGJ3" t="s">
        <v>8071</v>
      </c>
      <c r="QGK3" t="s">
        <v>8072</v>
      </c>
      <c r="QGL3" t="s">
        <v>8073</v>
      </c>
      <c r="QGM3" t="s">
        <v>8074</v>
      </c>
      <c r="QGN3" t="s">
        <v>8075</v>
      </c>
      <c r="QGO3" t="e">
        <f>+l</f>
        <v>#NAME?</v>
      </c>
      <c r="QGP3" t="s">
        <v>8076</v>
      </c>
      <c r="QGQ3" t="s">
        <v>8077</v>
      </c>
      <c r="QGR3" t="s">
        <v>8078</v>
      </c>
      <c r="QGS3" t="s">
        <v>8079</v>
      </c>
      <c r="QGT3" t="s">
        <v>8080</v>
      </c>
      <c r="QGU3" t="s">
        <v>8081</v>
      </c>
      <c r="QGV3" t="s">
        <v>44</v>
      </c>
      <c r="QGW3" t="s">
        <v>8082</v>
      </c>
      <c r="QGX3" t="s">
        <v>8083</v>
      </c>
      <c r="QGY3" t="s">
        <v>8084</v>
      </c>
      <c r="QGZ3" t="s">
        <v>8085</v>
      </c>
      <c r="QHA3" t="s">
        <v>8086</v>
      </c>
      <c r="QHB3" t="s">
        <v>8087</v>
      </c>
      <c r="QHC3" t="s">
        <v>8088</v>
      </c>
      <c r="QHD3" t="s">
        <v>6454</v>
      </c>
      <c r="QHE3" t="s">
        <v>8089</v>
      </c>
      <c r="QHF3" t="s">
        <v>8090</v>
      </c>
      <c r="QHG3" t="s">
        <v>8091</v>
      </c>
      <c r="QHH3" t="s">
        <v>8092</v>
      </c>
      <c r="QHI3" t="s">
        <v>8093</v>
      </c>
      <c r="QHJ3" t="s">
        <v>8094</v>
      </c>
      <c r="QHK3" t="s">
        <v>8095</v>
      </c>
      <c r="QHL3" t="s">
        <v>125</v>
      </c>
      <c r="QHM3" t="s">
        <v>8096</v>
      </c>
      <c r="QHN3" t="s">
        <v>8097</v>
      </c>
      <c r="QHO3" t="s">
        <v>8098</v>
      </c>
      <c r="QHP3" t="s">
        <v>8099</v>
      </c>
      <c r="QHQ3" t="s">
        <v>8100</v>
      </c>
      <c r="QHR3" t="s">
        <v>8101</v>
      </c>
      <c r="QHS3" t="s">
        <v>8102</v>
      </c>
      <c r="QHT3" t="s">
        <v>44</v>
      </c>
      <c r="QHU3" t="s">
        <v>8103</v>
      </c>
      <c r="QHV3">
        <v>0</v>
      </c>
      <c r="QHW3" t="s">
        <v>8104</v>
      </c>
      <c r="QHX3" t="s">
        <v>4201</v>
      </c>
      <c r="QHY3" t="s">
        <v>8105</v>
      </c>
      <c r="QHZ3" t="s">
        <v>8106</v>
      </c>
      <c r="QIA3" t="s">
        <v>8107</v>
      </c>
      <c r="QIB3" t="s">
        <v>8108</v>
      </c>
      <c r="QIC3" t="s">
        <v>8109</v>
      </c>
      <c r="QID3" t="s">
        <v>8110</v>
      </c>
      <c r="QIE3" t="s">
        <v>44</v>
      </c>
      <c r="QIF3" t="s">
        <v>8111</v>
      </c>
      <c r="QIG3">
        <v>0</v>
      </c>
      <c r="QIH3" t="s">
        <v>2072</v>
      </c>
      <c r="QII3" t="s">
        <v>8112</v>
      </c>
      <c r="QIJ3" t="s">
        <v>44</v>
      </c>
      <c r="QIK3" t="s">
        <v>8113</v>
      </c>
      <c r="QIL3" t="s">
        <v>1882</v>
      </c>
      <c r="QIM3" t="s">
        <v>8114</v>
      </c>
      <c r="QIN3">
        <v>0</v>
      </c>
      <c r="QIO3" t="s">
        <v>1336</v>
      </c>
      <c r="QIP3" t="s">
        <v>8115</v>
      </c>
      <c r="QIQ3" t="s">
        <v>8116</v>
      </c>
      <c r="QIR3" t="s">
        <v>8117</v>
      </c>
      <c r="QIS3" t="s">
        <v>8118</v>
      </c>
      <c r="QIT3" t="s">
        <v>8119</v>
      </c>
      <c r="QIU3" t="s">
        <v>8120</v>
      </c>
      <c r="QIV3" t="s">
        <v>8121</v>
      </c>
      <c r="QIW3" t="s">
        <v>126</v>
      </c>
      <c r="QIX3" t="s">
        <v>8122</v>
      </c>
      <c r="QIY3" t="s">
        <v>8123</v>
      </c>
      <c r="QIZ3" t="s">
        <v>8124</v>
      </c>
      <c r="QJA3" t="s">
        <v>8125</v>
      </c>
      <c r="QJB3" t="s">
        <v>8126</v>
      </c>
      <c r="QJC3" t="s">
        <v>44</v>
      </c>
      <c r="QJD3" t="s">
        <v>2659</v>
      </c>
      <c r="QJE3" t="s">
        <v>8127</v>
      </c>
      <c r="QJF3" t="s">
        <v>8128</v>
      </c>
      <c r="QJG3" t="s">
        <v>8129</v>
      </c>
      <c r="QJH3" t="s">
        <v>8130</v>
      </c>
      <c r="QJI3" t="s">
        <v>6983</v>
      </c>
      <c r="QJJ3" t="s">
        <v>8131</v>
      </c>
      <c r="QJK3" t="s">
        <v>8132</v>
      </c>
      <c r="QJL3" t="s">
        <v>3976</v>
      </c>
      <c r="QJM3" t="s">
        <v>8133</v>
      </c>
      <c r="QJN3" t="s">
        <v>8134</v>
      </c>
      <c r="QJO3" t="s">
        <v>8135</v>
      </c>
      <c r="QJP3" t="s">
        <v>8136</v>
      </c>
      <c r="QJQ3" t="s">
        <v>8137</v>
      </c>
      <c r="QJR3" t="s">
        <v>8138</v>
      </c>
      <c r="QJS3" t="s">
        <v>8139</v>
      </c>
      <c r="QJT3" t="s">
        <v>8140</v>
      </c>
      <c r="QJU3" t="s">
        <v>8141</v>
      </c>
      <c r="QJV3" t="s">
        <v>3857</v>
      </c>
      <c r="QJW3" t="s">
        <v>8142</v>
      </c>
      <c r="QJX3" t="s">
        <v>8143</v>
      </c>
      <c r="QJY3" t="s">
        <v>8144</v>
      </c>
      <c r="QJZ3" t="s">
        <v>8145</v>
      </c>
      <c r="QKA3" t="s">
        <v>8146</v>
      </c>
      <c r="QKB3" t="s">
        <v>8147</v>
      </c>
      <c r="QKC3" t="s">
        <v>8148</v>
      </c>
      <c r="QKD3" t="s">
        <v>3976</v>
      </c>
      <c r="QKE3" t="s">
        <v>8133</v>
      </c>
      <c r="QKF3" t="s">
        <v>8149</v>
      </c>
      <c r="QKG3" t="s">
        <v>142</v>
      </c>
      <c r="QKH3" t="s">
        <v>171</v>
      </c>
      <c r="QKI3" t="s">
        <v>8150</v>
      </c>
      <c r="QKJ3" t="s">
        <v>144</v>
      </c>
      <c r="QKK3" t="s">
        <v>138</v>
      </c>
      <c r="QKL3" t="s">
        <v>139</v>
      </c>
      <c r="QKM3" t="s">
        <v>145</v>
      </c>
      <c r="QKN3" t="s">
        <v>146</v>
      </c>
      <c r="QKO3" t="s">
        <v>142</v>
      </c>
      <c r="QKP3" t="s">
        <v>147</v>
      </c>
      <c r="QKQ3" t="s">
        <v>4160</v>
      </c>
      <c r="QKR3" t="s">
        <v>5723</v>
      </c>
      <c r="QKS3" t="s">
        <v>5724</v>
      </c>
      <c r="QKT3" t="s">
        <v>171</v>
      </c>
      <c r="QKU3" t="s">
        <v>8151</v>
      </c>
      <c r="QKV3" t="s">
        <v>7215</v>
      </c>
      <c r="QKW3" t="s">
        <v>8152</v>
      </c>
      <c r="QKX3" t="s">
        <v>154</v>
      </c>
      <c r="QKY3" t="s">
        <v>4161</v>
      </c>
      <c r="QKZ3" t="s">
        <v>4162</v>
      </c>
      <c r="QLA3" t="s">
        <v>156</v>
      </c>
      <c r="QLB3" t="s">
        <v>3883</v>
      </c>
      <c r="QLC3" t="s">
        <v>8153</v>
      </c>
      <c r="QLD3" t="s">
        <v>4163</v>
      </c>
      <c r="QLE3" t="s">
        <v>5723</v>
      </c>
      <c r="QLF3" t="s">
        <v>5724</v>
      </c>
      <c r="QLG3" t="s">
        <v>171</v>
      </c>
      <c r="QLH3" t="s">
        <v>162</v>
      </c>
      <c r="QLI3" t="s">
        <v>4161</v>
      </c>
      <c r="QLJ3" t="s">
        <v>221</v>
      </c>
      <c r="QLK3" t="s">
        <v>164</v>
      </c>
      <c r="QLL3" t="s">
        <v>226</v>
      </c>
      <c r="QLM3" t="s">
        <v>8154</v>
      </c>
      <c r="QLN3" t="s">
        <v>8155</v>
      </c>
      <c r="QLO3" t="s">
        <v>142</v>
      </c>
      <c r="QLP3" t="s">
        <v>8156</v>
      </c>
      <c r="QLQ3" t="s">
        <v>8157</v>
      </c>
      <c r="QLR3" t="s">
        <v>8158</v>
      </c>
      <c r="QLS3" t="s">
        <v>8159</v>
      </c>
      <c r="QLT3" t="s">
        <v>8160</v>
      </c>
      <c r="QLU3" t="s">
        <v>8133</v>
      </c>
      <c r="QLV3" t="s">
        <v>154</v>
      </c>
      <c r="QLW3" t="s">
        <v>155</v>
      </c>
      <c r="QLX3" t="s">
        <v>156</v>
      </c>
      <c r="QLY3" t="s">
        <v>3883</v>
      </c>
      <c r="QLZ3" t="s">
        <v>8153</v>
      </c>
      <c r="QMA3" t="s">
        <v>8161</v>
      </c>
      <c r="QMB3" t="s">
        <v>159</v>
      </c>
      <c r="QMC3" t="s">
        <v>8162</v>
      </c>
      <c r="QMD3" t="s">
        <v>8163</v>
      </c>
      <c r="QME3" t="s">
        <v>8164</v>
      </c>
      <c r="QMF3" t="s">
        <v>8165</v>
      </c>
      <c r="QMG3" t="s">
        <v>8166</v>
      </c>
      <c r="QMH3" t="s">
        <v>8167</v>
      </c>
      <c r="QMI3" t="s">
        <v>172</v>
      </c>
      <c r="QMJ3" t="s">
        <v>8168</v>
      </c>
      <c r="QMK3" t="s">
        <v>3813</v>
      </c>
      <c r="QML3" t="s">
        <v>8169</v>
      </c>
      <c r="QMM3" t="s">
        <v>170</v>
      </c>
      <c r="QMN3" t="s">
        <v>142</v>
      </c>
      <c r="QMO3" t="s">
        <v>8170</v>
      </c>
      <c r="QMP3" t="s">
        <v>8171</v>
      </c>
      <c r="QMQ3" t="s">
        <v>142</v>
      </c>
      <c r="QMR3" t="s">
        <v>8172</v>
      </c>
      <c r="QMS3" t="s">
        <v>8173</v>
      </c>
      <c r="QMT3" t="s">
        <v>8174</v>
      </c>
      <c r="QMU3" t="s">
        <v>8175</v>
      </c>
      <c r="QMV3" t="s">
        <v>142</v>
      </c>
      <c r="QMW3" t="s">
        <v>147</v>
      </c>
      <c r="QMX3" t="s">
        <v>8176</v>
      </c>
      <c r="QMY3" t="s">
        <v>142</v>
      </c>
      <c r="QMZ3" t="s">
        <v>8177</v>
      </c>
      <c r="QNA3" t="s">
        <v>6281</v>
      </c>
      <c r="QNB3" t="s">
        <v>229</v>
      </c>
      <c r="QNC3" t="s">
        <v>8178</v>
      </c>
      <c r="QND3" t="s">
        <v>8179</v>
      </c>
      <c r="QNE3" t="s">
        <v>8180</v>
      </c>
      <c r="QNF3" t="s">
        <v>8181</v>
      </c>
      <c r="QNG3" t="s">
        <v>8182</v>
      </c>
      <c r="QNH3" t="s">
        <v>8183</v>
      </c>
      <c r="QNI3" t="s">
        <v>8184</v>
      </c>
      <c r="QNJ3" t="s">
        <v>8185</v>
      </c>
      <c r="QNK3" t="s">
        <v>8186</v>
      </c>
      <c r="QNL3" t="s">
        <v>8187</v>
      </c>
      <c r="QNM3" t="s">
        <v>8188</v>
      </c>
      <c r="QNN3" t="s">
        <v>8189</v>
      </c>
      <c r="QNO3" t="s">
        <v>8190</v>
      </c>
      <c r="QNP3" t="s">
        <v>8191</v>
      </c>
      <c r="QNQ3" t="s">
        <v>8192</v>
      </c>
      <c r="QNR3" t="s">
        <v>8193</v>
      </c>
      <c r="QNS3" t="s">
        <v>8194</v>
      </c>
      <c r="QNT3" t="s">
        <v>8195</v>
      </c>
      <c r="QNU3" t="s">
        <v>8196</v>
      </c>
      <c r="QNV3" t="s">
        <v>8197</v>
      </c>
      <c r="QNW3" t="s">
        <v>8198</v>
      </c>
      <c r="QNX3" t="s">
        <v>8199</v>
      </c>
      <c r="QNY3" t="s">
        <v>8200</v>
      </c>
      <c r="QNZ3" t="s">
        <v>8201</v>
      </c>
      <c r="QOA3" t="s">
        <v>8202</v>
      </c>
      <c r="QOB3" t="s">
        <v>8203</v>
      </c>
      <c r="QOC3" t="s">
        <v>8204</v>
      </c>
      <c r="QOD3" t="s">
        <v>8205</v>
      </c>
      <c r="QOE3" t="s">
        <v>8206</v>
      </c>
      <c r="QOF3" t="s">
        <v>8207</v>
      </c>
      <c r="QOG3" t="s">
        <v>8208</v>
      </c>
      <c r="QOH3" t="s">
        <v>8209</v>
      </c>
      <c r="QOI3" t="s">
        <v>8210</v>
      </c>
      <c r="QOJ3" t="s">
        <v>8211</v>
      </c>
      <c r="QOK3" t="s">
        <v>8212</v>
      </c>
      <c r="QOL3" t="s">
        <v>8213</v>
      </c>
      <c r="QOM3" t="s">
        <v>8214</v>
      </c>
      <c r="QON3" t="s">
        <v>8215</v>
      </c>
      <c r="QOO3" t="s">
        <v>8216</v>
      </c>
      <c r="QOP3" t="s">
        <v>8217</v>
      </c>
      <c r="QOQ3" t="s">
        <v>8218</v>
      </c>
      <c r="QOR3" t="s">
        <v>8219</v>
      </c>
      <c r="QOS3" t="s">
        <v>8220</v>
      </c>
      <c r="QOT3" t="s">
        <v>8221</v>
      </c>
      <c r="QOU3" t="s">
        <v>8222</v>
      </c>
      <c r="QOV3" t="s">
        <v>8223</v>
      </c>
      <c r="QOW3" t="s">
        <v>8224</v>
      </c>
      <c r="QOX3" t="s">
        <v>8225</v>
      </c>
      <c r="QOY3" t="s">
        <v>44</v>
      </c>
      <c r="QOZ3" t="s">
        <v>243</v>
      </c>
      <c r="QPA3" t="s">
        <v>8226</v>
      </c>
      <c r="QPB3" t="s">
        <v>8227</v>
      </c>
      <c r="QPC3" t="s">
        <v>8228</v>
      </c>
      <c r="QPD3" t="s">
        <v>8229</v>
      </c>
      <c r="QPE3" t="s">
        <v>44</v>
      </c>
      <c r="QPF3" t="s">
        <v>8230</v>
      </c>
      <c r="QPG3" t="s">
        <v>1035</v>
      </c>
      <c r="QPH3" t="s">
        <v>44</v>
      </c>
      <c r="QPI3" t="s">
        <v>47</v>
      </c>
      <c r="QPJ3" t="s">
        <v>125</v>
      </c>
      <c r="QPK3" t="s">
        <v>8231</v>
      </c>
      <c r="QPL3" t="s">
        <v>44</v>
      </c>
      <c r="QPM3" t="s">
        <v>8232</v>
      </c>
      <c r="QPN3" t="s">
        <v>8233</v>
      </c>
      <c r="QPO3" t="s">
        <v>3175</v>
      </c>
      <c r="QPP3" t="s">
        <v>8234</v>
      </c>
      <c r="QPQ3" t="s">
        <v>8235</v>
      </c>
      <c r="QPR3" t="s">
        <v>8236</v>
      </c>
      <c r="QPS3" t="s">
        <v>5759</v>
      </c>
      <c r="QPT3" t="s">
        <v>44</v>
      </c>
      <c r="QPU3" t="s">
        <v>295</v>
      </c>
      <c r="QPV3" t="s">
        <v>296</v>
      </c>
      <c r="QPW3" t="s">
        <v>8237</v>
      </c>
      <c r="QPX3" t="s">
        <v>8238</v>
      </c>
      <c r="QPY3" t="s">
        <v>8239</v>
      </c>
      <c r="QPZ3" t="s">
        <v>8240</v>
      </c>
      <c r="QQA3" t="s">
        <v>8241</v>
      </c>
      <c r="QQB3" t="s">
        <v>8242</v>
      </c>
      <c r="QQC3" t="s">
        <v>8243</v>
      </c>
      <c r="QQD3" t="s">
        <v>8244</v>
      </c>
      <c r="QQE3" t="s">
        <v>8245</v>
      </c>
      <c r="QQF3" t="s">
        <v>4193</v>
      </c>
      <c r="QQG3" t="s">
        <v>8246</v>
      </c>
      <c r="QQH3" t="s">
        <v>8247</v>
      </c>
      <c r="QQI3" t="s">
        <v>8248</v>
      </c>
      <c r="QQJ3" t="s">
        <v>8249</v>
      </c>
      <c r="QQK3" t="s">
        <v>8250</v>
      </c>
      <c r="QQL3" t="s">
        <v>8245</v>
      </c>
      <c r="QQM3" t="s">
        <v>8251</v>
      </c>
      <c r="QQN3" t="s">
        <v>8252</v>
      </c>
      <c r="QQO3" t="s">
        <v>8253</v>
      </c>
      <c r="QQP3" t="s">
        <v>8254</v>
      </c>
      <c r="QQQ3" t="s">
        <v>8255</v>
      </c>
      <c r="QQR3" t="s">
        <v>8256</v>
      </c>
      <c r="QQS3" t="s">
        <v>8257</v>
      </c>
      <c r="QQT3" t="s">
        <v>8258</v>
      </c>
      <c r="QQU3" t="s">
        <v>8259</v>
      </c>
      <c r="QQV3" t="s">
        <v>8260</v>
      </c>
      <c r="QQW3" t="s">
        <v>8261</v>
      </c>
      <c r="QQX3" t="s">
        <v>8262</v>
      </c>
      <c r="QQY3" t="s">
        <v>1034</v>
      </c>
      <c r="QQZ3" t="s">
        <v>1035</v>
      </c>
      <c r="QRA3" t="s">
        <v>44</v>
      </c>
      <c r="QRB3" t="s">
        <v>511</v>
      </c>
      <c r="QRC3" t="s">
        <v>125</v>
      </c>
      <c r="QRD3" t="s">
        <v>8263</v>
      </c>
      <c r="QRE3" t="s">
        <v>8264</v>
      </c>
      <c r="QRF3" t="s">
        <v>8265</v>
      </c>
      <c r="QRG3" t="s">
        <v>1475</v>
      </c>
      <c r="QRH3" t="s">
        <v>8266</v>
      </c>
      <c r="QRI3" t="s">
        <v>3844</v>
      </c>
      <c r="QRJ3" t="s">
        <v>44</v>
      </c>
      <c r="QRK3" t="s">
        <v>8267</v>
      </c>
      <c r="QRL3" t="s">
        <v>7200</v>
      </c>
      <c r="QRM3" t="s">
        <v>8268</v>
      </c>
      <c r="QRN3" t="s">
        <v>44</v>
      </c>
      <c r="QRO3" t="s">
        <v>333</v>
      </c>
      <c r="QRP3" t="s">
        <v>5165</v>
      </c>
      <c r="QRQ3" t="s">
        <v>8269</v>
      </c>
      <c r="QRR3" t="s">
        <v>7203</v>
      </c>
      <c r="QRS3" t="s">
        <v>8270</v>
      </c>
      <c r="QRT3" t="s">
        <v>8271</v>
      </c>
      <c r="QRU3" t="s">
        <v>8272</v>
      </c>
      <c r="QRV3" t="s">
        <v>8273</v>
      </c>
      <c r="QRW3" t="s">
        <v>8274</v>
      </c>
      <c r="QRX3" t="s">
        <v>5774</v>
      </c>
      <c r="QRY3" t="s">
        <v>5775</v>
      </c>
      <c r="QRZ3" t="s">
        <v>5776</v>
      </c>
      <c r="QSA3" t="s">
        <v>8275</v>
      </c>
      <c r="QSB3" t="s">
        <v>8276</v>
      </c>
      <c r="QSC3" t="s">
        <v>8277</v>
      </c>
      <c r="QSD3" t="s">
        <v>8278</v>
      </c>
      <c r="QSE3" t="s">
        <v>8279</v>
      </c>
      <c r="QSF3" t="s">
        <v>8280</v>
      </c>
      <c r="QSG3" t="s">
        <v>8281</v>
      </c>
      <c r="QSH3" t="s">
        <v>6555</v>
      </c>
      <c r="QSI3" t="s">
        <v>8282</v>
      </c>
      <c r="QSJ3" t="s">
        <v>8283</v>
      </c>
      <c r="QSK3" t="s">
        <v>8284</v>
      </c>
      <c r="QSL3" t="s">
        <v>8285</v>
      </c>
      <c r="QSM3" t="s">
        <v>8286</v>
      </c>
      <c r="QSN3" t="s">
        <v>8287</v>
      </c>
      <c r="QSO3" t="s">
        <v>8288</v>
      </c>
      <c r="QSP3" t="s">
        <v>8289</v>
      </c>
      <c r="QSQ3" t="s">
        <v>8290</v>
      </c>
      <c r="QSR3" t="s">
        <v>8291</v>
      </c>
      <c r="QSS3" t="s">
        <v>8292</v>
      </c>
      <c r="QST3" t="s">
        <v>8293</v>
      </c>
      <c r="QSU3" t="s">
        <v>8294</v>
      </c>
      <c r="QSV3" t="s">
        <v>8295</v>
      </c>
      <c r="QSW3" t="s">
        <v>8296</v>
      </c>
      <c r="QSX3" t="s">
        <v>44</v>
      </c>
      <c r="QSY3" t="s">
        <v>8297</v>
      </c>
      <c r="QSZ3" t="s">
        <v>8298</v>
      </c>
      <c r="QTA3" t="s">
        <v>4179</v>
      </c>
      <c r="QTB3" t="s">
        <v>8299</v>
      </c>
      <c r="QTC3" t="s">
        <v>8300</v>
      </c>
      <c r="QTD3" t="s">
        <v>8301</v>
      </c>
      <c r="QTE3" t="s">
        <v>8302</v>
      </c>
      <c r="QTF3" t="s">
        <v>8303</v>
      </c>
      <c r="QTG3" t="s">
        <v>5828</v>
      </c>
      <c r="QTH3" t="s">
        <v>8304</v>
      </c>
      <c r="QTI3" t="s">
        <v>8305</v>
      </c>
      <c r="QTJ3" t="s">
        <v>8306</v>
      </c>
      <c r="QTK3" t="s">
        <v>8307</v>
      </c>
      <c r="QTL3" t="s">
        <v>8308</v>
      </c>
      <c r="QTM3" t="s">
        <v>5853</v>
      </c>
      <c r="QTN3" t="s">
        <v>8309</v>
      </c>
      <c r="QTO3" t="s">
        <v>5855</v>
      </c>
      <c r="QTP3" t="s">
        <v>8310</v>
      </c>
      <c r="QTQ3" t="s">
        <v>8311</v>
      </c>
      <c r="QTR3" t="s">
        <v>8312</v>
      </c>
      <c r="QTS3" t="s">
        <v>8313</v>
      </c>
      <c r="QTT3" t="s">
        <v>8314</v>
      </c>
      <c r="QTU3" t="s">
        <v>8315</v>
      </c>
      <c r="QTV3" t="s">
        <v>8316</v>
      </c>
      <c r="QTW3" t="s">
        <v>8317</v>
      </c>
      <c r="QTX3" t="s">
        <v>8318</v>
      </c>
      <c r="QTY3" t="s">
        <v>8319</v>
      </c>
      <c r="QTZ3" t="s">
        <v>8320</v>
      </c>
      <c r="QUA3" t="s">
        <v>8321</v>
      </c>
      <c r="QUB3" t="s">
        <v>8322</v>
      </c>
      <c r="QUC3" t="s">
        <v>8323</v>
      </c>
      <c r="QUD3" t="s">
        <v>44</v>
      </c>
      <c r="QUE3" t="s">
        <v>8324</v>
      </c>
      <c r="QUF3" t="s">
        <v>46</v>
      </c>
      <c r="QUG3" t="s">
        <v>8325</v>
      </c>
      <c r="QUH3" t="s">
        <v>8326</v>
      </c>
      <c r="QUI3" t="s">
        <v>8327</v>
      </c>
      <c r="QUJ3" t="s">
        <v>8328</v>
      </c>
      <c r="QUK3" t="s">
        <v>3221</v>
      </c>
      <c r="QUL3" t="s">
        <v>8329</v>
      </c>
      <c r="QUM3" t="s">
        <v>8330</v>
      </c>
      <c r="QUN3" t="s">
        <v>8331</v>
      </c>
      <c r="QUO3" t="s">
        <v>8332</v>
      </c>
      <c r="QUP3" t="s">
        <v>8333</v>
      </c>
      <c r="QUQ3" t="s">
        <v>8334</v>
      </c>
      <c r="QUR3" t="s">
        <v>8335</v>
      </c>
      <c r="QUS3" t="s">
        <v>8336</v>
      </c>
      <c r="QUT3" t="s">
        <v>8337</v>
      </c>
      <c r="QUU3" t="s">
        <v>8338</v>
      </c>
      <c r="QUV3" t="s">
        <v>8339</v>
      </c>
      <c r="QUW3" t="s">
        <v>126</v>
      </c>
      <c r="QUX3" t="s">
        <v>4408</v>
      </c>
      <c r="QUY3" t="s">
        <v>8340</v>
      </c>
      <c r="QUZ3" t="s">
        <v>44</v>
      </c>
      <c r="QVA3" t="s">
        <v>8341</v>
      </c>
      <c r="QVB3" t="s">
        <v>390</v>
      </c>
      <c r="QVC3" t="s">
        <v>8342</v>
      </c>
      <c r="QVD3" t="s">
        <v>8343</v>
      </c>
      <c r="QVE3" t="s">
        <v>44</v>
      </c>
      <c r="QVF3" t="s">
        <v>255</v>
      </c>
      <c r="QVG3" t="s">
        <v>8344</v>
      </c>
      <c r="QVH3" t="s">
        <v>8345</v>
      </c>
      <c r="QVI3" t="s">
        <v>8346</v>
      </c>
      <c r="QVJ3" t="s">
        <v>8347</v>
      </c>
      <c r="QVK3" t="s">
        <v>8348</v>
      </c>
      <c r="QVL3" t="s">
        <v>8349</v>
      </c>
      <c r="QVM3" t="s">
        <v>8350</v>
      </c>
      <c r="QVN3" t="s">
        <v>8351</v>
      </c>
      <c r="QVO3" t="s">
        <v>44</v>
      </c>
      <c r="QVP3" t="s">
        <v>8352</v>
      </c>
      <c r="QVQ3" t="s">
        <v>3221</v>
      </c>
      <c r="QVR3" t="s">
        <v>8329</v>
      </c>
      <c r="QVS3" t="s">
        <v>8353</v>
      </c>
      <c r="QVT3" t="s">
        <v>8331</v>
      </c>
      <c r="QVU3" t="s">
        <v>8354</v>
      </c>
      <c r="QVV3" t="s">
        <v>8355</v>
      </c>
      <c r="QVW3" t="s">
        <v>1544</v>
      </c>
      <c r="QVX3" t="s">
        <v>8356</v>
      </c>
      <c r="QVY3" t="s">
        <v>8357</v>
      </c>
      <c r="QVZ3" t="s">
        <v>8358</v>
      </c>
      <c r="QWA3" t="s">
        <v>8359</v>
      </c>
      <c r="QWB3" t="s">
        <v>8360</v>
      </c>
      <c r="QWC3" t="s">
        <v>393</v>
      </c>
      <c r="QWD3" t="s">
        <v>8361</v>
      </c>
      <c r="QWE3" t="s">
        <v>8362</v>
      </c>
      <c r="QWF3" t="s">
        <v>8363</v>
      </c>
      <c r="QWG3" t="s">
        <v>388</v>
      </c>
      <c r="QWH3" t="s">
        <v>8364</v>
      </c>
      <c r="QWI3" t="s">
        <v>8365</v>
      </c>
      <c r="QWJ3" t="s">
        <v>255</v>
      </c>
      <c r="QWK3" t="s">
        <v>1882</v>
      </c>
      <c r="QWL3" t="s">
        <v>8366</v>
      </c>
      <c r="QWM3" t="s">
        <v>8367</v>
      </c>
      <c r="QWN3" t="s">
        <v>8368</v>
      </c>
      <c r="QWO3" t="s">
        <v>8369</v>
      </c>
      <c r="QWP3" t="s">
        <v>44</v>
      </c>
      <c r="QWQ3" t="s">
        <v>125</v>
      </c>
      <c r="QWR3" t="s">
        <v>126</v>
      </c>
      <c r="QWS3" t="s">
        <v>8370</v>
      </c>
      <c r="QWT3" t="s">
        <v>8371</v>
      </c>
      <c r="QWU3" t="s">
        <v>44</v>
      </c>
      <c r="QWV3" t="s">
        <v>125</v>
      </c>
      <c r="QWW3" t="s">
        <v>1503</v>
      </c>
      <c r="QWX3" t="s">
        <v>1526</v>
      </c>
      <c r="QWY3" t="s">
        <v>8372</v>
      </c>
      <c r="QWZ3" t="s">
        <v>44</v>
      </c>
      <c r="QXA3" t="s">
        <v>125</v>
      </c>
      <c r="QXB3" t="s">
        <v>126</v>
      </c>
      <c r="QXC3" t="s">
        <v>47</v>
      </c>
      <c r="QXD3" t="s">
        <v>8373</v>
      </c>
      <c r="QXE3" t="s">
        <v>8374</v>
      </c>
      <c r="QXF3" t="s">
        <v>8375</v>
      </c>
      <c r="QXG3" t="s">
        <v>8376</v>
      </c>
      <c r="QXH3" t="s">
        <v>8377</v>
      </c>
      <c r="QXI3" t="s">
        <v>125</v>
      </c>
      <c r="QXJ3" t="s">
        <v>3919</v>
      </c>
      <c r="QXK3" t="s">
        <v>8378</v>
      </c>
      <c r="QXL3" t="s">
        <v>1336</v>
      </c>
      <c r="QXM3" t="s">
        <v>8379</v>
      </c>
      <c r="QXN3" t="s">
        <v>8380</v>
      </c>
      <c r="QXO3" t="s">
        <v>8381</v>
      </c>
      <c r="QXP3" t="s">
        <v>8382</v>
      </c>
      <c r="QXQ3" t="s">
        <v>8383</v>
      </c>
      <c r="QXR3" t="s">
        <v>8384</v>
      </c>
      <c r="QXS3" t="s">
        <v>8385</v>
      </c>
      <c r="QXT3" t="s">
        <v>8386</v>
      </c>
      <c r="QXU3" t="s">
        <v>8387</v>
      </c>
      <c r="QXV3" t="s">
        <v>8388</v>
      </c>
      <c r="QXW3" t="s">
        <v>8389</v>
      </c>
      <c r="QXX3" t="s">
        <v>8390</v>
      </c>
      <c r="QXY3" t="s">
        <v>8391</v>
      </c>
      <c r="QXZ3" t="s">
        <v>8392</v>
      </c>
      <c r="QYA3" t="s">
        <v>8393</v>
      </c>
      <c r="QYB3" t="s">
        <v>44</v>
      </c>
      <c r="QYC3" t="s">
        <v>8394</v>
      </c>
      <c r="QYD3" t="s">
        <v>8395</v>
      </c>
      <c r="QYE3" t="s">
        <v>515</v>
      </c>
      <c r="QYF3" t="s">
        <v>6135</v>
      </c>
      <c r="QYG3" t="s">
        <v>8396</v>
      </c>
      <c r="QYH3" t="s">
        <v>8397</v>
      </c>
      <c r="QYI3" t="s">
        <v>8398</v>
      </c>
      <c r="QYJ3" t="s">
        <v>8399</v>
      </c>
      <c r="QYK3" t="s">
        <v>8400</v>
      </c>
      <c r="QYL3" t="s">
        <v>8401</v>
      </c>
      <c r="QYM3" t="s">
        <v>8402</v>
      </c>
      <c r="QYN3" t="s">
        <v>8403</v>
      </c>
      <c r="QYO3" t="s">
        <v>125</v>
      </c>
      <c r="QYP3" t="s">
        <v>255</v>
      </c>
      <c r="QYQ3" t="s">
        <v>47</v>
      </c>
      <c r="QYR3" t="s">
        <v>8404</v>
      </c>
      <c r="QYS3" t="s">
        <v>8399</v>
      </c>
      <c r="QYT3" t="s">
        <v>8405</v>
      </c>
      <c r="QYU3" t="s">
        <v>8406</v>
      </c>
      <c r="QYV3" t="s">
        <v>1494</v>
      </c>
      <c r="QYW3" t="s">
        <v>8407</v>
      </c>
      <c r="QYX3" t="s">
        <v>1494</v>
      </c>
      <c r="QYY3" t="s">
        <v>8408</v>
      </c>
      <c r="QYZ3" t="s">
        <v>1494</v>
      </c>
      <c r="QZA3" t="s">
        <v>8409</v>
      </c>
      <c r="QZB3" t="s">
        <v>1494</v>
      </c>
      <c r="QZC3" t="s">
        <v>8410</v>
      </c>
      <c r="QZD3" t="s">
        <v>8411</v>
      </c>
      <c r="QZE3" t="s">
        <v>8412</v>
      </c>
      <c r="QZF3" t="s">
        <v>125</v>
      </c>
      <c r="QZG3" t="s">
        <v>255</v>
      </c>
      <c r="QZH3" t="s">
        <v>49</v>
      </c>
      <c r="QZI3" t="s">
        <v>388</v>
      </c>
      <c r="QZJ3" t="s">
        <v>8413</v>
      </c>
      <c r="QZK3" t="s">
        <v>8407</v>
      </c>
      <c r="QZL3" t="s">
        <v>3389</v>
      </c>
      <c r="QZM3" t="s">
        <v>8409</v>
      </c>
      <c r="QZN3" t="s">
        <v>3389</v>
      </c>
      <c r="QZO3" t="s">
        <v>8406</v>
      </c>
      <c r="QZP3" t="s">
        <v>6180</v>
      </c>
      <c r="QZQ3" t="s">
        <v>8408</v>
      </c>
      <c r="QZR3" t="s">
        <v>8414</v>
      </c>
      <c r="QZS3" t="s">
        <v>8415</v>
      </c>
      <c r="QZT3" t="s">
        <v>8416</v>
      </c>
      <c r="QZU3" t="s">
        <v>388</v>
      </c>
      <c r="QZV3" t="s">
        <v>5136</v>
      </c>
      <c r="QZW3" t="s">
        <v>8417</v>
      </c>
      <c r="QZX3" t="s">
        <v>8418</v>
      </c>
      <c r="QZY3" t="s">
        <v>5137</v>
      </c>
      <c r="QZZ3" t="s">
        <v>8419</v>
      </c>
      <c r="RAA3" t="s">
        <v>8420</v>
      </c>
      <c r="RAB3" t="s">
        <v>8421</v>
      </c>
      <c r="RAC3" t="s">
        <v>8422</v>
      </c>
      <c r="RAD3" t="s">
        <v>8367</v>
      </c>
      <c r="RAE3" t="s">
        <v>8423</v>
      </c>
      <c r="RAF3" t="s">
        <v>8424</v>
      </c>
      <c r="RAG3" t="s">
        <v>44</v>
      </c>
      <c r="RAH3" t="s">
        <v>8425</v>
      </c>
      <c r="RAI3" t="s">
        <v>4467</v>
      </c>
      <c r="RAJ3" t="s">
        <v>8426</v>
      </c>
      <c r="RAK3" t="s">
        <v>8427</v>
      </c>
      <c r="RAL3" t="s">
        <v>8428</v>
      </c>
      <c r="RAM3" t="s">
        <v>8429</v>
      </c>
      <c r="RAN3" t="s">
        <v>8430</v>
      </c>
      <c r="RAO3" t="s">
        <v>8431</v>
      </c>
      <c r="RAP3" t="s">
        <v>8432</v>
      </c>
      <c r="RAQ3" t="s">
        <v>8433</v>
      </c>
      <c r="RAR3" t="s">
        <v>8434</v>
      </c>
      <c r="RAS3" t="s">
        <v>8432</v>
      </c>
      <c r="RAT3" t="s">
        <v>8435</v>
      </c>
      <c r="RAU3" t="s">
        <v>44</v>
      </c>
      <c r="RAV3" t="s">
        <v>8436</v>
      </c>
      <c r="RAW3" t="s">
        <v>8437</v>
      </c>
      <c r="RAX3" t="s">
        <v>390</v>
      </c>
      <c r="RAY3" t="s">
        <v>8438</v>
      </c>
      <c r="RAZ3" t="s">
        <v>8343</v>
      </c>
      <c r="RBA3" t="s">
        <v>44</v>
      </c>
      <c r="RBB3" t="s">
        <v>255</v>
      </c>
      <c r="RBC3" t="s">
        <v>8344</v>
      </c>
      <c r="RBD3" t="s">
        <v>8439</v>
      </c>
      <c r="RBE3" t="s">
        <v>8440</v>
      </c>
      <c r="RBF3" t="s">
        <v>8441</v>
      </c>
      <c r="RBG3" t="s">
        <v>8442</v>
      </c>
      <c r="RBH3" t="s">
        <v>4509</v>
      </c>
      <c r="RBI3" t="s">
        <v>8443</v>
      </c>
      <c r="RBJ3">
        <v>0</v>
      </c>
      <c r="RBK3" t="s">
        <v>8444</v>
      </c>
      <c r="RBL3" t="s">
        <v>8445</v>
      </c>
      <c r="RBM3" t="s">
        <v>8446</v>
      </c>
      <c r="RBN3" t="s">
        <v>8437</v>
      </c>
      <c r="RBO3" t="s">
        <v>390</v>
      </c>
      <c r="RBP3" t="s">
        <v>8447</v>
      </c>
      <c r="RBQ3" t="s">
        <v>8448</v>
      </c>
      <c r="RBR3" t="s">
        <v>8449</v>
      </c>
      <c r="RBS3" t="s">
        <v>8450</v>
      </c>
      <c r="RBT3" t="s">
        <v>8451</v>
      </c>
      <c r="RBU3" t="s">
        <v>8452</v>
      </c>
      <c r="RBV3" t="s">
        <v>8453</v>
      </c>
      <c r="RBW3" t="s">
        <v>8454</v>
      </c>
      <c r="RBX3" t="s">
        <v>8443</v>
      </c>
      <c r="RBY3" t="s">
        <v>8455</v>
      </c>
      <c r="RBZ3" t="s">
        <v>8456</v>
      </c>
      <c r="RCA3" t="s">
        <v>8457</v>
      </c>
      <c r="RCB3" t="s">
        <v>8458</v>
      </c>
      <c r="RCC3" t="s">
        <v>8459</v>
      </c>
      <c r="RCD3" t="s">
        <v>2981</v>
      </c>
      <c r="RCE3" t="s">
        <v>8460</v>
      </c>
      <c r="RCF3" t="s">
        <v>8461</v>
      </c>
      <c r="RCG3" t="s">
        <v>2615</v>
      </c>
      <c r="RCH3" t="s">
        <v>8462</v>
      </c>
      <c r="RCI3" t="s">
        <v>8463</v>
      </c>
      <c r="RCJ3" t="s">
        <v>8321</v>
      </c>
      <c r="RCK3" t="s">
        <v>8464</v>
      </c>
      <c r="RCL3" t="s">
        <v>8465</v>
      </c>
      <c r="RCM3" t="s">
        <v>8466</v>
      </c>
      <c r="RCN3" t="s">
        <v>8467</v>
      </c>
      <c r="RCO3" t="s">
        <v>8468</v>
      </c>
      <c r="RCP3" t="s">
        <v>8469</v>
      </c>
      <c r="RCQ3" t="s">
        <v>388</v>
      </c>
      <c r="RCR3" t="s">
        <v>8470</v>
      </c>
      <c r="RCS3" t="s">
        <v>8471</v>
      </c>
      <c r="RCT3" t="s">
        <v>8472</v>
      </c>
      <c r="RCU3" t="s">
        <v>8473</v>
      </c>
      <c r="RCV3" t="s">
        <v>8474</v>
      </c>
      <c r="RCW3" t="s">
        <v>44</v>
      </c>
      <c r="RCX3" t="s">
        <v>8475</v>
      </c>
      <c r="RCY3" t="s">
        <v>8476</v>
      </c>
      <c r="RCZ3" t="s">
        <v>125</v>
      </c>
      <c r="RDA3" t="s">
        <v>126</v>
      </c>
      <c r="RDB3" t="s">
        <v>8477</v>
      </c>
      <c r="RDC3" t="s">
        <v>1685</v>
      </c>
      <c r="RDD3" t="s">
        <v>8478</v>
      </c>
      <c r="RDE3" t="s">
        <v>5594</v>
      </c>
      <c r="RDF3" t="s">
        <v>44</v>
      </c>
      <c r="RDG3" t="s">
        <v>8479</v>
      </c>
      <c r="RDH3" t="s">
        <v>8378</v>
      </c>
      <c r="RDI3" t="s">
        <v>8480</v>
      </c>
      <c r="RDJ3" t="s">
        <v>8481</v>
      </c>
      <c r="RDK3" t="s">
        <v>8482</v>
      </c>
      <c r="RDL3" t="s">
        <v>8483</v>
      </c>
      <c r="RDM3" t="s">
        <v>255</v>
      </c>
      <c r="RDN3" t="s">
        <v>8484</v>
      </c>
      <c r="RDO3" t="s">
        <v>255</v>
      </c>
      <c r="RDP3" t="s">
        <v>8485</v>
      </c>
      <c r="RDQ3" t="s">
        <v>8486</v>
      </c>
      <c r="RDR3" t="s">
        <v>8487</v>
      </c>
      <c r="RDS3" t="s">
        <v>8488</v>
      </c>
      <c r="RDT3" t="s">
        <v>125</v>
      </c>
      <c r="RDU3" t="s">
        <v>6929</v>
      </c>
      <c r="RDV3" t="s">
        <v>8378</v>
      </c>
      <c r="RDW3" t="s">
        <v>8489</v>
      </c>
      <c r="RDX3" t="s">
        <v>1562</v>
      </c>
      <c r="RDY3" t="s">
        <v>8490</v>
      </c>
      <c r="RDZ3" t="s">
        <v>8491</v>
      </c>
      <c r="REA3" t="s">
        <v>44</v>
      </c>
      <c r="REB3" t="s">
        <v>8492</v>
      </c>
      <c r="REC3" t="s">
        <v>8493</v>
      </c>
      <c r="RED3" t="s">
        <v>8494</v>
      </c>
      <c r="REE3" t="s">
        <v>8495</v>
      </c>
      <c r="REF3" t="s">
        <v>8496</v>
      </c>
      <c r="REG3" t="s">
        <v>8497</v>
      </c>
      <c r="REH3" t="s">
        <v>44</v>
      </c>
      <c r="REI3" t="s">
        <v>333</v>
      </c>
      <c r="REJ3" t="s">
        <v>80</v>
      </c>
      <c r="REK3" t="s">
        <v>335</v>
      </c>
      <c r="REL3" t="s">
        <v>336</v>
      </c>
      <c r="REM3" t="s">
        <v>8270</v>
      </c>
      <c r="REN3" t="s">
        <v>8271</v>
      </c>
      <c r="REO3" t="s">
        <v>4277</v>
      </c>
      <c r="REP3" t="s">
        <v>4278</v>
      </c>
      <c r="REQ3" t="s">
        <v>2795</v>
      </c>
      <c r="RER3" t="s">
        <v>8498</v>
      </c>
      <c r="RES3" t="s">
        <v>8499</v>
      </c>
      <c r="RET3" t="s">
        <v>8500</v>
      </c>
      <c r="REU3" t="s">
        <v>44</v>
      </c>
      <c r="REV3" t="s">
        <v>8501</v>
      </c>
      <c r="REW3" t="s">
        <v>8502</v>
      </c>
      <c r="REX3" t="s">
        <v>8503</v>
      </c>
      <c r="REY3" t="s">
        <v>8504</v>
      </c>
      <c r="REZ3" t="s">
        <v>8505</v>
      </c>
      <c r="RFA3" t="s">
        <v>8506</v>
      </c>
      <c r="RFB3" t="s">
        <v>8507</v>
      </c>
      <c r="RFC3" t="s">
        <v>8508</v>
      </c>
      <c r="RFD3" t="s">
        <v>8509</v>
      </c>
      <c r="RFE3" t="s">
        <v>8510</v>
      </c>
      <c r="RFF3" t="s">
        <v>8511</v>
      </c>
      <c r="RFG3" t="s">
        <v>8512</v>
      </c>
      <c r="RFH3" t="s">
        <v>8513</v>
      </c>
      <c r="RFI3" t="s">
        <v>8514</v>
      </c>
      <c r="RFJ3" t="s">
        <v>8515</v>
      </c>
      <c r="RFK3" t="s">
        <v>8516</v>
      </c>
      <c r="RFL3" t="s">
        <v>8517</v>
      </c>
      <c r="RFM3" t="s">
        <v>8518</v>
      </c>
      <c r="RFN3" t="s">
        <v>8519</v>
      </c>
      <c r="RFO3" t="s">
        <v>8520</v>
      </c>
      <c r="RFP3" t="s">
        <v>8521</v>
      </c>
      <c r="RFQ3" t="s">
        <v>8522</v>
      </c>
      <c r="RFR3" t="s">
        <v>8523</v>
      </c>
      <c r="RFS3" t="s">
        <v>8524</v>
      </c>
      <c r="RFT3" t="s">
        <v>8525</v>
      </c>
      <c r="RFU3" t="s">
        <v>8526</v>
      </c>
      <c r="RFV3" t="s">
        <v>8527</v>
      </c>
      <c r="RFW3" t="s">
        <v>8528</v>
      </c>
      <c r="RFX3" t="s">
        <v>8529</v>
      </c>
      <c r="RFY3" t="s">
        <v>8530</v>
      </c>
      <c r="RFZ3" t="s">
        <v>8531</v>
      </c>
      <c r="RGA3" t="s">
        <v>8532</v>
      </c>
      <c r="RGB3" t="s">
        <v>8533</v>
      </c>
      <c r="RGC3" t="s">
        <v>8534</v>
      </c>
      <c r="RGD3" t="s">
        <v>8535</v>
      </c>
      <c r="RGE3" t="s">
        <v>8536</v>
      </c>
      <c r="RGF3" t="s">
        <v>8537</v>
      </c>
      <c r="RGG3" t="s">
        <v>8538</v>
      </c>
      <c r="RGH3" t="s">
        <v>8539</v>
      </c>
      <c r="RGI3" t="s">
        <v>8540</v>
      </c>
      <c r="RGJ3" t="s">
        <v>8541</v>
      </c>
      <c r="RGK3" t="s">
        <v>8542</v>
      </c>
      <c r="RGL3" t="s">
        <v>8543</v>
      </c>
      <c r="RGM3" t="s">
        <v>8544</v>
      </c>
      <c r="RGN3" t="s">
        <v>8545</v>
      </c>
      <c r="RGO3" t="s">
        <v>8546</v>
      </c>
      <c r="RGP3" t="s">
        <v>8547</v>
      </c>
      <c r="RGQ3" t="s">
        <v>8548</v>
      </c>
      <c r="RGR3" t="s">
        <v>8549</v>
      </c>
      <c r="RGS3" t="s">
        <v>8550</v>
      </c>
      <c r="RGT3" t="s">
        <v>8551</v>
      </c>
      <c r="RGU3" t="s">
        <v>8552</v>
      </c>
      <c r="RGV3" t="s">
        <v>8553</v>
      </c>
      <c r="RGW3" t="s">
        <v>8554</v>
      </c>
      <c r="RGX3" t="s">
        <v>8555</v>
      </c>
      <c r="RGY3" t="s">
        <v>393</v>
      </c>
      <c r="RGZ3" t="s">
        <v>8556</v>
      </c>
      <c r="RHA3" t="s">
        <v>8557</v>
      </c>
      <c r="RHB3" t="s">
        <v>8558</v>
      </c>
      <c r="RHC3" t="s">
        <v>1882</v>
      </c>
      <c r="RHD3" t="s">
        <v>8559</v>
      </c>
      <c r="RHE3" t="s">
        <v>8560</v>
      </c>
      <c r="RHF3" t="s">
        <v>8561</v>
      </c>
      <c r="RHG3" t="s">
        <v>8562</v>
      </c>
      <c r="RHH3" t="s">
        <v>8563</v>
      </c>
      <c r="RHI3" t="s">
        <v>8564</v>
      </c>
      <c r="RHJ3" t="s">
        <v>8565</v>
      </c>
      <c r="RHK3" t="s">
        <v>8566</v>
      </c>
      <c r="RHL3" t="s">
        <v>8567</v>
      </c>
      <c r="RHM3" t="s">
        <v>8568</v>
      </c>
      <c r="RHN3" t="s">
        <v>8569</v>
      </c>
      <c r="RHO3" t="s">
        <v>8570</v>
      </c>
      <c r="RHP3" t="s">
        <v>8571</v>
      </c>
      <c r="RHQ3" t="s">
        <v>8572</v>
      </c>
      <c r="RHR3" t="s">
        <v>8573</v>
      </c>
      <c r="RHS3" t="s">
        <v>8574</v>
      </c>
      <c r="RHT3" t="s">
        <v>8575</v>
      </c>
      <c r="RHU3" t="s">
        <v>8576</v>
      </c>
      <c r="RHV3" t="s">
        <v>8577</v>
      </c>
      <c r="RHW3" t="s">
        <v>5867</v>
      </c>
      <c r="RHX3" t="s">
        <v>1475</v>
      </c>
      <c r="RHY3" t="s">
        <v>8578</v>
      </c>
      <c r="RHZ3" t="s">
        <v>8579</v>
      </c>
      <c r="RIA3" t="s">
        <v>8580</v>
      </c>
      <c r="RIB3" t="s">
        <v>8581</v>
      </c>
      <c r="RIC3" t="s">
        <v>1279</v>
      </c>
      <c r="RID3" t="s">
        <v>8582</v>
      </c>
      <c r="RIE3" t="s">
        <v>8583</v>
      </c>
      <c r="RIF3" t="s">
        <v>8584</v>
      </c>
      <c r="RIG3" t="s">
        <v>8585</v>
      </c>
      <c r="RIH3" t="s">
        <v>8586</v>
      </c>
      <c r="RII3" t="s">
        <v>8587</v>
      </c>
      <c r="RIJ3" t="s">
        <v>8588</v>
      </c>
      <c r="RIK3" t="s">
        <v>255</v>
      </c>
      <c r="RIL3" t="s">
        <v>8589</v>
      </c>
      <c r="RIM3" t="s">
        <v>8590</v>
      </c>
      <c r="RIN3" t="s">
        <v>8591</v>
      </c>
      <c r="RIO3" t="s">
        <v>8592</v>
      </c>
      <c r="RIP3" t="s">
        <v>8593</v>
      </c>
      <c r="RIQ3" t="s">
        <v>8594</v>
      </c>
      <c r="RIR3" t="s">
        <v>8595</v>
      </c>
      <c r="RIS3" t="s">
        <v>1347</v>
      </c>
      <c r="RIT3" t="s">
        <v>8596</v>
      </c>
      <c r="RIU3" t="s">
        <v>1475</v>
      </c>
      <c r="RIV3" t="s">
        <v>8597</v>
      </c>
      <c r="RIW3" t="s">
        <v>8598</v>
      </c>
      <c r="RIX3" t="s">
        <v>8599</v>
      </c>
      <c r="RIY3" t="s">
        <v>8600</v>
      </c>
      <c r="RIZ3" t="s">
        <v>1279</v>
      </c>
      <c r="RJA3" t="s">
        <v>8601</v>
      </c>
      <c r="RJB3" t="s">
        <v>8602</v>
      </c>
      <c r="RJC3" t="s">
        <v>8603</v>
      </c>
      <c r="RJD3" t="s">
        <v>8604</v>
      </c>
      <c r="RJE3" t="s">
        <v>8605</v>
      </c>
      <c r="RJF3" t="s">
        <v>8606</v>
      </c>
      <c r="RJG3" t="s">
        <v>8607</v>
      </c>
      <c r="RJH3" t="s">
        <v>8608</v>
      </c>
      <c r="RJI3" t="s">
        <v>8609</v>
      </c>
      <c r="RJJ3" t="s">
        <v>8610</v>
      </c>
      <c r="RJK3" t="s">
        <v>8611</v>
      </c>
      <c r="RJL3" t="s">
        <v>8612</v>
      </c>
      <c r="RJM3" t="s">
        <v>8613</v>
      </c>
      <c r="RJN3" t="s">
        <v>8614</v>
      </c>
      <c r="RJO3" t="s">
        <v>257</v>
      </c>
      <c r="RJP3" t="s">
        <v>258</v>
      </c>
      <c r="RJQ3" t="s">
        <v>259</v>
      </c>
      <c r="RJR3" t="s">
        <v>8615</v>
      </c>
      <c r="RJS3" t="s">
        <v>8616</v>
      </c>
      <c r="RJT3" t="s">
        <v>8617</v>
      </c>
      <c r="RJU3" t="s">
        <v>8618</v>
      </c>
      <c r="RJV3" t="s">
        <v>8619</v>
      </c>
      <c r="RJW3" t="s">
        <v>8620</v>
      </c>
      <c r="RJX3" t="s">
        <v>8621</v>
      </c>
      <c r="RJY3" t="s">
        <v>8622</v>
      </c>
      <c r="RJZ3" t="s">
        <v>8623</v>
      </c>
      <c r="RKA3" t="s">
        <v>8624</v>
      </c>
      <c r="RKB3" t="s">
        <v>8625</v>
      </c>
      <c r="RKC3" t="s">
        <v>8626</v>
      </c>
      <c r="RKD3" t="s">
        <v>255</v>
      </c>
      <c r="RKE3" t="s">
        <v>8627</v>
      </c>
      <c r="RKF3" t="s">
        <v>8628</v>
      </c>
      <c r="RKG3" t="s">
        <v>8629</v>
      </c>
      <c r="RKH3" t="s">
        <v>289</v>
      </c>
      <c r="RKI3" t="s">
        <v>8630</v>
      </c>
      <c r="RKJ3" t="s">
        <v>8631</v>
      </c>
      <c r="RKK3" t="s">
        <v>8632</v>
      </c>
      <c r="RKL3" t="s">
        <v>8631</v>
      </c>
      <c r="RKM3" t="s">
        <v>8633</v>
      </c>
      <c r="RKN3" t="s">
        <v>8634</v>
      </c>
      <c r="RKO3" t="s">
        <v>8635</v>
      </c>
      <c r="RKP3" t="s">
        <v>8636</v>
      </c>
      <c r="RKQ3" t="s">
        <v>8637</v>
      </c>
      <c r="RKR3" t="s">
        <v>8638</v>
      </c>
      <c r="RKS3" t="s">
        <v>8639</v>
      </c>
      <c r="RKT3" t="s">
        <v>8640</v>
      </c>
      <c r="RKU3" t="s">
        <v>8641</v>
      </c>
      <c r="RKV3" t="s">
        <v>8642</v>
      </c>
      <c r="RKW3" t="s">
        <v>8643</v>
      </c>
      <c r="RKX3" t="s">
        <v>8644</v>
      </c>
      <c r="RKY3" t="s">
        <v>8645</v>
      </c>
      <c r="RKZ3" t="s">
        <v>8646</v>
      </c>
      <c r="RLA3" t="s">
        <v>5087</v>
      </c>
      <c r="RLB3" t="s">
        <v>8547</v>
      </c>
      <c r="RLC3" t="s">
        <v>8647</v>
      </c>
      <c r="RLD3" t="s">
        <v>8648</v>
      </c>
      <c r="RLE3" t="s">
        <v>8649</v>
      </c>
      <c r="RLF3" t="s">
        <v>255</v>
      </c>
      <c r="RLG3" t="s">
        <v>1691</v>
      </c>
      <c r="RLH3" t="s">
        <v>44</v>
      </c>
      <c r="RLI3" t="s">
        <v>8650</v>
      </c>
      <c r="RLJ3" t="s">
        <v>255</v>
      </c>
      <c r="RLK3" t="s">
        <v>1691</v>
      </c>
      <c r="RLL3" t="s">
        <v>8651</v>
      </c>
      <c r="RLM3" t="s">
        <v>8652</v>
      </c>
      <c r="RLN3" t="s">
        <v>8653</v>
      </c>
      <c r="RLO3" t="s">
        <v>8574</v>
      </c>
      <c r="RLP3" t="s">
        <v>8654</v>
      </c>
      <c r="RLQ3" t="s">
        <v>8655</v>
      </c>
      <c r="RLR3" t="s">
        <v>8656</v>
      </c>
      <c r="RLS3" t="s">
        <v>8657</v>
      </c>
      <c r="RLT3" t="s">
        <v>8658</v>
      </c>
      <c r="RLU3" t="s">
        <v>3314</v>
      </c>
      <c r="RLV3" t="s">
        <v>8659</v>
      </c>
      <c r="RLW3" t="s">
        <v>8660</v>
      </c>
      <c r="RLX3" t="s">
        <v>8648</v>
      </c>
      <c r="RLY3" t="s">
        <v>8661</v>
      </c>
      <c r="RLZ3" t="s">
        <v>255</v>
      </c>
      <c r="RMA3" t="s">
        <v>8662</v>
      </c>
      <c r="RMB3" t="s">
        <v>8651</v>
      </c>
      <c r="RMC3" t="s">
        <v>8652</v>
      </c>
      <c r="RMD3" t="s">
        <v>8653</v>
      </c>
      <c r="RME3" t="s">
        <v>8663</v>
      </c>
      <c r="RMF3" t="s">
        <v>8664</v>
      </c>
      <c r="RMG3" t="s">
        <v>8665</v>
      </c>
      <c r="RMH3" t="s">
        <v>8666</v>
      </c>
      <c r="RMI3" t="s">
        <v>444</v>
      </c>
      <c r="RMJ3" t="s">
        <v>8667</v>
      </c>
      <c r="RMK3" t="s">
        <v>8668</v>
      </c>
      <c r="RML3" t="s">
        <v>8669</v>
      </c>
      <c r="RMM3" t="s">
        <v>8670</v>
      </c>
      <c r="RMN3" t="s">
        <v>44</v>
      </c>
      <c r="RMO3" t="s">
        <v>2659</v>
      </c>
      <c r="RMP3" t="s">
        <v>5703</v>
      </c>
      <c r="RMQ3" t="s">
        <v>132</v>
      </c>
      <c r="RMR3" t="s">
        <v>8129</v>
      </c>
      <c r="RMS3" t="s">
        <v>8671</v>
      </c>
      <c r="RMT3" t="s">
        <v>6983</v>
      </c>
      <c r="RMU3" t="s">
        <v>8672</v>
      </c>
      <c r="RMV3" t="s">
        <v>8673</v>
      </c>
      <c r="RMW3" t="s">
        <v>8134</v>
      </c>
      <c r="RMX3" t="s">
        <v>8135</v>
      </c>
      <c r="RMY3" t="s">
        <v>8136</v>
      </c>
      <c r="RMZ3" t="s">
        <v>8137</v>
      </c>
      <c r="RNA3" t="s">
        <v>8138</v>
      </c>
      <c r="RNB3" t="s">
        <v>8139</v>
      </c>
      <c r="RNC3" t="s">
        <v>8140</v>
      </c>
      <c r="RND3" t="s">
        <v>8141</v>
      </c>
      <c r="RNE3" t="s">
        <v>3857</v>
      </c>
      <c r="RNF3" t="s">
        <v>8142</v>
      </c>
      <c r="RNG3" t="s">
        <v>8143</v>
      </c>
      <c r="RNH3" t="s">
        <v>8144</v>
      </c>
      <c r="RNI3" t="s">
        <v>8674</v>
      </c>
      <c r="RNJ3" t="s">
        <v>3857</v>
      </c>
      <c r="RNK3" t="s">
        <v>8142</v>
      </c>
      <c r="RNL3" t="s">
        <v>8143</v>
      </c>
      <c r="RNM3" t="s">
        <v>8144</v>
      </c>
      <c r="RNN3" t="s">
        <v>5720</v>
      </c>
      <c r="RNO3" t="s">
        <v>7694</v>
      </c>
      <c r="RNP3" t="s">
        <v>8147</v>
      </c>
      <c r="RNQ3" t="s">
        <v>8675</v>
      </c>
      <c r="RNR3" t="s">
        <v>8676</v>
      </c>
      <c r="RNS3" t="s">
        <v>8677</v>
      </c>
      <c r="RNT3" t="s">
        <v>2477</v>
      </c>
      <c r="RNU3" t="s">
        <v>8678</v>
      </c>
      <c r="RNV3" t="s">
        <v>8679</v>
      </c>
      <c r="RNW3" t="s">
        <v>8680</v>
      </c>
      <c r="RNX3" t="s">
        <v>8681</v>
      </c>
      <c r="RNY3" t="s">
        <v>155</v>
      </c>
      <c r="RNZ3" t="s">
        <v>3817</v>
      </c>
      <c r="ROA3" t="s">
        <v>8682</v>
      </c>
      <c r="ROB3" t="s">
        <v>8683</v>
      </c>
      <c r="ROC3" t="s">
        <v>8684</v>
      </c>
      <c r="ROD3" t="s">
        <v>8685</v>
      </c>
      <c r="ROE3" t="s">
        <v>3808</v>
      </c>
      <c r="ROF3" t="s">
        <v>171</v>
      </c>
      <c r="ROG3" t="s">
        <v>8686</v>
      </c>
      <c r="ROH3" t="s">
        <v>8133</v>
      </c>
      <c r="ROI3" t="s">
        <v>8687</v>
      </c>
      <c r="ROJ3" t="s">
        <v>4160</v>
      </c>
      <c r="ROK3" t="s">
        <v>5723</v>
      </c>
      <c r="ROL3" t="s">
        <v>5724</v>
      </c>
      <c r="ROM3" t="s">
        <v>8688</v>
      </c>
      <c r="RON3" t="s">
        <v>154</v>
      </c>
      <c r="ROO3" t="s">
        <v>4161</v>
      </c>
      <c r="ROP3" t="s">
        <v>4162</v>
      </c>
      <c r="ROQ3" t="s">
        <v>156</v>
      </c>
      <c r="ROR3" t="s">
        <v>3883</v>
      </c>
      <c r="ROS3" t="s">
        <v>8689</v>
      </c>
      <c r="ROT3" t="s">
        <v>4163</v>
      </c>
      <c r="ROU3" t="s">
        <v>5723</v>
      </c>
      <c r="ROV3" t="s">
        <v>5724</v>
      </c>
      <c r="ROW3" t="s">
        <v>147</v>
      </c>
      <c r="ROX3" t="s">
        <v>162</v>
      </c>
      <c r="ROY3" t="s">
        <v>4161</v>
      </c>
      <c r="ROZ3" t="s">
        <v>221</v>
      </c>
      <c r="RPA3" t="s">
        <v>164</v>
      </c>
      <c r="RPB3" t="s">
        <v>226</v>
      </c>
      <c r="RPC3" t="s">
        <v>8154</v>
      </c>
      <c r="RPD3" t="s">
        <v>8690</v>
      </c>
      <c r="RPE3" t="s">
        <v>186</v>
      </c>
      <c r="RPF3" t="s">
        <v>8165</v>
      </c>
      <c r="RPG3" t="s">
        <v>8691</v>
      </c>
      <c r="RPH3" t="s">
        <v>3813</v>
      </c>
      <c r="RPI3" t="s">
        <v>8692</v>
      </c>
      <c r="RPJ3" t="s">
        <v>170</v>
      </c>
      <c r="RPK3" t="s">
        <v>142</v>
      </c>
      <c r="RPL3" t="s">
        <v>3991</v>
      </c>
      <c r="RPM3" t="s">
        <v>8693</v>
      </c>
      <c r="RPN3" t="s">
        <v>6281</v>
      </c>
      <c r="RPO3" t="s">
        <v>229</v>
      </c>
      <c r="RPP3" t="s">
        <v>8694</v>
      </c>
      <c r="RPQ3" t="s">
        <v>8695</v>
      </c>
      <c r="RPR3" t="s">
        <v>8696</v>
      </c>
      <c r="RPS3" t="s">
        <v>8697</v>
      </c>
      <c r="RPT3" t="s">
        <v>8698</v>
      </c>
      <c r="RPU3" t="s">
        <v>8699</v>
      </c>
      <c r="RPV3" t="s">
        <v>8700</v>
      </c>
      <c r="RPW3" t="s">
        <v>8701</v>
      </c>
      <c r="RPX3" t="s">
        <v>8702</v>
      </c>
      <c r="RPY3" t="s">
        <v>8703</v>
      </c>
      <c r="RPZ3" t="s">
        <v>8704</v>
      </c>
      <c r="RQA3" t="s">
        <v>8705</v>
      </c>
      <c r="RQB3" t="s">
        <v>8706</v>
      </c>
      <c r="RQC3" t="s">
        <v>8194</v>
      </c>
      <c r="RQD3" t="s">
        <v>8195</v>
      </c>
      <c r="RQE3" t="s">
        <v>8707</v>
      </c>
      <c r="RQF3" t="s">
        <v>8708</v>
      </c>
      <c r="RQG3" t="s">
        <v>8709</v>
      </c>
      <c r="RQH3" t="s">
        <v>8710</v>
      </c>
      <c r="RQI3" t="s">
        <v>8711</v>
      </c>
      <c r="RQJ3" t="s">
        <v>8712</v>
      </c>
      <c r="RQK3" t="s">
        <v>8197</v>
      </c>
      <c r="RQL3" t="s">
        <v>8713</v>
      </c>
      <c r="RQM3" t="s">
        <v>8714</v>
      </c>
      <c r="RQN3" t="s">
        <v>8715</v>
      </c>
      <c r="RQO3" t="s">
        <v>8716</v>
      </c>
      <c r="RQP3" t="s">
        <v>8717</v>
      </c>
      <c r="RQQ3" t="s">
        <v>8718</v>
      </c>
      <c r="RQR3" t="s">
        <v>8719</v>
      </c>
      <c r="RQS3" t="s">
        <v>8720</v>
      </c>
      <c r="RQT3" t="s">
        <v>8721</v>
      </c>
      <c r="RQU3" t="s">
        <v>44</v>
      </c>
      <c r="RQV3" t="s">
        <v>243</v>
      </c>
      <c r="RQW3" t="s">
        <v>8226</v>
      </c>
      <c r="RQX3" t="s">
        <v>8722</v>
      </c>
      <c r="RQY3" t="s">
        <v>8723</v>
      </c>
      <c r="RQZ3" t="s">
        <v>8724</v>
      </c>
      <c r="RRA3" t="s">
        <v>44</v>
      </c>
      <c r="RRB3" t="s">
        <v>8230</v>
      </c>
      <c r="RRC3" t="s">
        <v>1035</v>
      </c>
      <c r="RRD3" t="s">
        <v>44</v>
      </c>
      <c r="RRE3" t="s">
        <v>47</v>
      </c>
      <c r="RRF3" t="s">
        <v>125</v>
      </c>
      <c r="RRG3" t="s">
        <v>8725</v>
      </c>
      <c r="RRH3" t="s">
        <v>8726</v>
      </c>
      <c r="RRI3" t="s">
        <v>44</v>
      </c>
      <c r="RRJ3" t="s">
        <v>5748</v>
      </c>
      <c r="RRK3" t="s">
        <v>8727</v>
      </c>
      <c r="RRL3" t="s">
        <v>8728</v>
      </c>
      <c r="RRM3" t="s">
        <v>8729</v>
      </c>
      <c r="RRN3" t="s">
        <v>8730</v>
      </c>
      <c r="RRO3" t="s">
        <v>8235</v>
      </c>
      <c r="RRP3" t="s">
        <v>8236</v>
      </c>
      <c r="RRQ3" t="s">
        <v>5759</v>
      </c>
      <c r="RRR3" t="s">
        <v>44</v>
      </c>
      <c r="RRS3" t="s">
        <v>295</v>
      </c>
      <c r="RRT3" t="s">
        <v>296</v>
      </c>
      <c r="RRU3" t="s">
        <v>8237</v>
      </c>
      <c r="RRV3" t="s">
        <v>8238</v>
      </c>
      <c r="RRW3" t="s">
        <v>8241</v>
      </c>
      <c r="RRX3" t="s">
        <v>8242</v>
      </c>
      <c r="RRY3" t="s">
        <v>8243</v>
      </c>
      <c r="RRZ3" t="s">
        <v>8244</v>
      </c>
      <c r="RSA3" t="s">
        <v>8245</v>
      </c>
      <c r="RSB3" t="s">
        <v>4193</v>
      </c>
      <c r="RSC3" t="s">
        <v>8246</v>
      </c>
      <c r="RSD3" t="s">
        <v>8731</v>
      </c>
      <c r="RSE3" t="s">
        <v>4195</v>
      </c>
      <c r="RSF3" t="s">
        <v>8257</v>
      </c>
      <c r="RSG3" t="s">
        <v>8732</v>
      </c>
      <c r="RSH3" t="s">
        <v>1034</v>
      </c>
      <c r="RSI3" t="s">
        <v>1035</v>
      </c>
      <c r="RSJ3" t="s">
        <v>44</v>
      </c>
      <c r="RSK3" t="s">
        <v>511</v>
      </c>
      <c r="RSL3" t="s">
        <v>125</v>
      </c>
      <c r="RSM3" t="s">
        <v>8733</v>
      </c>
      <c r="RSN3" t="s">
        <v>8734</v>
      </c>
      <c r="RSO3" t="s">
        <v>8735</v>
      </c>
      <c r="RSP3" t="s">
        <v>8736</v>
      </c>
      <c r="RSQ3" t="s">
        <v>8737</v>
      </c>
      <c r="RSR3" t="s">
        <v>8738</v>
      </c>
      <c r="RSS3" t="s">
        <v>3844</v>
      </c>
      <c r="RST3" t="s">
        <v>44</v>
      </c>
      <c r="RSU3" t="s">
        <v>8267</v>
      </c>
      <c r="RSV3" t="s">
        <v>7200</v>
      </c>
      <c r="RSW3" t="s">
        <v>8739</v>
      </c>
      <c r="RSX3" t="s">
        <v>44</v>
      </c>
      <c r="RSY3" t="s">
        <v>333</v>
      </c>
      <c r="RSZ3" t="s">
        <v>5165</v>
      </c>
      <c r="RTA3" t="s">
        <v>8269</v>
      </c>
      <c r="RTB3" t="s">
        <v>7203</v>
      </c>
      <c r="RTC3" t="s">
        <v>8270</v>
      </c>
      <c r="RTD3" t="s">
        <v>8740</v>
      </c>
      <c r="RTE3" t="s">
        <v>8741</v>
      </c>
      <c r="RTF3" t="s">
        <v>8742</v>
      </c>
      <c r="RTG3" t="s">
        <v>8743</v>
      </c>
      <c r="RTH3" t="s">
        <v>8744</v>
      </c>
      <c r="RTI3" t="s">
        <v>8745</v>
      </c>
      <c r="RTJ3" t="s">
        <v>44</v>
      </c>
      <c r="RTK3" t="s">
        <v>125</v>
      </c>
      <c r="RTL3" t="s">
        <v>126</v>
      </c>
      <c r="RTM3" t="s">
        <v>46</v>
      </c>
      <c r="RTN3" t="s">
        <v>47</v>
      </c>
      <c r="RTO3" t="s">
        <v>1503</v>
      </c>
      <c r="RTP3" t="s">
        <v>8746</v>
      </c>
      <c r="RTQ3" t="s">
        <v>8747</v>
      </c>
      <c r="RTR3" t="s">
        <v>8375</v>
      </c>
      <c r="RTS3" t="s">
        <v>8748</v>
      </c>
      <c r="RTT3" t="s">
        <v>3919</v>
      </c>
      <c r="RTU3" t="s">
        <v>8749</v>
      </c>
      <c r="RTV3" t="s">
        <v>126</v>
      </c>
      <c r="RTW3" t="s">
        <v>850</v>
      </c>
      <c r="RTX3" t="s">
        <v>850</v>
      </c>
      <c r="RTY3" t="s">
        <v>8750</v>
      </c>
      <c r="RTZ3" t="s">
        <v>8751</v>
      </c>
      <c r="RUA3" t="s">
        <v>8752</v>
      </c>
      <c r="RUB3" t="s">
        <v>126</v>
      </c>
      <c r="RUC3" t="s">
        <v>46</v>
      </c>
      <c r="RUD3" t="s">
        <v>47</v>
      </c>
      <c r="RUE3" t="s">
        <v>1882</v>
      </c>
      <c r="RUF3" t="s">
        <v>8753</v>
      </c>
      <c r="RUG3" t="s">
        <v>126</v>
      </c>
      <c r="RUH3" t="s">
        <v>46</v>
      </c>
      <c r="RUI3" t="s">
        <v>47</v>
      </c>
      <c r="RUJ3" t="s">
        <v>8754</v>
      </c>
      <c r="RUK3" t="s">
        <v>44</v>
      </c>
      <c r="RUL3" t="s">
        <v>125</v>
      </c>
      <c r="RUM3" t="s">
        <v>126</v>
      </c>
      <c r="RUN3" t="s">
        <v>8755</v>
      </c>
      <c r="RUO3" t="s">
        <v>393</v>
      </c>
      <c r="RUP3" t="s">
        <v>8756</v>
      </c>
      <c r="RUQ3" t="s">
        <v>8757</v>
      </c>
      <c r="RUR3" t="s">
        <v>4324</v>
      </c>
      <c r="RUS3" t="s">
        <v>8758</v>
      </c>
      <c r="RUT3" t="s">
        <v>8759</v>
      </c>
      <c r="RUU3" t="s">
        <v>8760</v>
      </c>
      <c r="RUV3" t="s">
        <v>8761</v>
      </c>
      <c r="RUW3" t="s">
        <v>8762</v>
      </c>
      <c r="RUX3" t="s">
        <v>8763</v>
      </c>
      <c r="RUY3" t="s">
        <v>8764</v>
      </c>
      <c r="RUZ3" t="s">
        <v>8765</v>
      </c>
      <c r="RVA3" t="s">
        <v>8766</v>
      </c>
      <c r="RVB3" t="s">
        <v>8767</v>
      </c>
      <c r="RVC3" t="s">
        <v>46</v>
      </c>
      <c r="RVD3" t="s">
        <v>254</v>
      </c>
      <c r="RVE3" t="s">
        <v>8768</v>
      </c>
      <c r="RVF3" t="s">
        <v>46</v>
      </c>
      <c r="RVG3" t="s">
        <v>310</v>
      </c>
      <c r="RVH3" t="s">
        <v>861</v>
      </c>
      <c r="RVI3" t="s">
        <v>8769</v>
      </c>
      <c r="RVJ3" t="s">
        <v>3221</v>
      </c>
      <c r="RVK3" t="s">
        <v>8770</v>
      </c>
      <c r="RVL3" t="s">
        <v>5791</v>
      </c>
      <c r="RVM3" t="s">
        <v>8771</v>
      </c>
      <c r="RVN3" t="s">
        <v>8772</v>
      </c>
      <c r="RVO3" t="s">
        <v>8773</v>
      </c>
      <c r="RVP3" t="s">
        <v>8774</v>
      </c>
      <c r="RVQ3" t="s">
        <v>8775</v>
      </c>
      <c r="RVR3" t="s">
        <v>8776</v>
      </c>
      <c r="RVS3" t="s">
        <v>8777</v>
      </c>
      <c r="RVT3" t="s">
        <v>8778</v>
      </c>
      <c r="RVU3" t="s">
        <v>44</v>
      </c>
      <c r="RVV3" t="s">
        <v>125</v>
      </c>
      <c r="RVW3" t="s">
        <v>126</v>
      </c>
      <c r="RVX3" t="s">
        <v>5828</v>
      </c>
      <c r="RVY3" t="s">
        <v>8779</v>
      </c>
      <c r="RVZ3" t="s">
        <v>8780</v>
      </c>
      <c r="RWA3" t="s">
        <v>8781</v>
      </c>
      <c r="RWB3" t="s">
        <v>8782</v>
      </c>
      <c r="RWC3" t="s">
        <v>5828</v>
      </c>
      <c r="RWD3" t="s">
        <v>8783</v>
      </c>
      <c r="RWE3" t="s">
        <v>8784</v>
      </c>
      <c r="RWF3" t="s">
        <v>8785</v>
      </c>
      <c r="RWG3" t="s">
        <v>44</v>
      </c>
      <c r="RWH3" t="s">
        <v>125</v>
      </c>
      <c r="RWI3" t="s">
        <v>47</v>
      </c>
      <c r="RWJ3" t="s">
        <v>8786</v>
      </c>
      <c r="RWK3" t="s">
        <v>8787</v>
      </c>
      <c r="RWL3" t="s">
        <v>8788</v>
      </c>
      <c r="RWM3" t="s">
        <v>8789</v>
      </c>
      <c r="RWN3" t="s">
        <v>8790</v>
      </c>
      <c r="RWO3" t="s">
        <v>388</v>
      </c>
      <c r="RWP3" t="s">
        <v>8791</v>
      </c>
      <c r="RWQ3" t="s">
        <v>8792</v>
      </c>
      <c r="RWR3" t="s">
        <v>8793</v>
      </c>
      <c r="RWS3" t="s">
        <v>8794</v>
      </c>
      <c r="RWT3" t="s">
        <v>8795</v>
      </c>
      <c r="RWU3" t="s">
        <v>8796</v>
      </c>
      <c r="RWV3" t="s">
        <v>8797</v>
      </c>
      <c r="RWW3" t="s">
        <v>8798</v>
      </c>
      <c r="RWX3" t="s">
        <v>8799</v>
      </c>
      <c r="RWY3" t="s">
        <v>8800</v>
      </c>
      <c r="RWZ3" t="s">
        <v>8801</v>
      </c>
      <c r="RXA3" t="s">
        <v>8802</v>
      </c>
      <c r="RXB3" t="s">
        <v>8803</v>
      </c>
      <c r="RXC3" t="s">
        <v>8804</v>
      </c>
      <c r="RXD3" t="s">
        <v>8765</v>
      </c>
      <c r="RXE3" t="s">
        <v>8805</v>
      </c>
      <c r="RXF3" t="s">
        <v>8806</v>
      </c>
      <c r="RXG3" t="s">
        <v>8807</v>
      </c>
      <c r="RXH3" t="s">
        <v>1503</v>
      </c>
      <c r="RXI3" t="s">
        <v>511</v>
      </c>
      <c r="RXJ3" t="s">
        <v>8768</v>
      </c>
      <c r="RXK3" t="s">
        <v>1503</v>
      </c>
      <c r="RXL3" t="s">
        <v>6155</v>
      </c>
      <c r="RXM3" t="s">
        <v>8808</v>
      </c>
      <c r="RXN3" t="s">
        <v>8809</v>
      </c>
      <c r="RXO3" t="s">
        <v>1503</v>
      </c>
      <c r="RXP3">
        <v>0</v>
      </c>
      <c r="RXQ3" t="s">
        <v>44</v>
      </c>
      <c r="RXR3" t="s">
        <v>125</v>
      </c>
      <c r="RXS3" t="s">
        <v>47</v>
      </c>
      <c r="RXT3" t="s">
        <v>8810</v>
      </c>
      <c r="RXU3" t="s">
        <v>8811</v>
      </c>
      <c r="RXV3" t="s">
        <v>8812</v>
      </c>
      <c r="RXW3" t="s">
        <v>8813</v>
      </c>
      <c r="RXX3" t="s">
        <v>1503</v>
      </c>
      <c r="RXY3">
        <v>0</v>
      </c>
      <c r="RXZ3" t="s">
        <v>44</v>
      </c>
      <c r="RYA3" t="s">
        <v>125</v>
      </c>
      <c r="RYB3" t="s">
        <v>47</v>
      </c>
      <c r="RYC3" t="s">
        <v>515</v>
      </c>
      <c r="RYD3" t="s">
        <v>8811</v>
      </c>
      <c r="RYE3" t="s">
        <v>8812</v>
      </c>
      <c r="RYF3" t="s">
        <v>8814</v>
      </c>
      <c r="RYG3" t="s">
        <v>8815</v>
      </c>
      <c r="RYH3" t="s">
        <v>8816</v>
      </c>
      <c r="RYI3" t="s">
        <v>8817</v>
      </c>
      <c r="RYJ3" t="s">
        <v>8818</v>
      </c>
      <c r="RYK3" t="s">
        <v>8819</v>
      </c>
      <c r="RYL3" t="s">
        <v>8820</v>
      </c>
      <c r="RYM3" t="s">
        <v>8821</v>
      </c>
      <c r="RYN3" t="s">
        <v>8822</v>
      </c>
      <c r="RYO3" t="s">
        <v>3919</v>
      </c>
      <c r="RYP3" t="s">
        <v>8823</v>
      </c>
      <c r="RYQ3" t="s">
        <v>8824</v>
      </c>
      <c r="RYR3" t="s">
        <v>8823</v>
      </c>
      <c r="RYS3" t="s">
        <v>3919</v>
      </c>
      <c r="RYT3" t="s">
        <v>8825</v>
      </c>
      <c r="RYU3" t="s">
        <v>8826</v>
      </c>
      <c r="RYV3" t="s">
        <v>8827</v>
      </c>
      <c r="RYW3" t="s">
        <v>8828</v>
      </c>
      <c r="RYX3" t="s">
        <v>8829</v>
      </c>
      <c r="RYY3" t="s">
        <v>8830</v>
      </c>
      <c r="RYZ3" t="s">
        <v>8831</v>
      </c>
      <c r="RZA3" t="s">
        <v>44</v>
      </c>
      <c r="RZB3" t="s">
        <v>125</v>
      </c>
      <c r="RZC3" t="s">
        <v>126</v>
      </c>
      <c r="RZD3" t="s">
        <v>46</v>
      </c>
      <c r="RZE3" t="s">
        <v>8832</v>
      </c>
      <c r="RZF3" t="s">
        <v>511</v>
      </c>
      <c r="RZG3" t="s">
        <v>48</v>
      </c>
      <c r="RZH3" t="s">
        <v>8833</v>
      </c>
      <c r="RZI3" t="s">
        <v>8834</v>
      </c>
      <c r="RZJ3" t="s">
        <v>8835</v>
      </c>
      <c r="RZK3" t="s">
        <v>8836</v>
      </c>
      <c r="RZL3" t="s">
        <v>8837</v>
      </c>
      <c r="RZM3" t="s">
        <v>8838</v>
      </c>
      <c r="RZN3" t="s">
        <v>1503</v>
      </c>
      <c r="RZO3" t="s">
        <v>1470</v>
      </c>
      <c r="RZP3" t="s">
        <v>8839</v>
      </c>
      <c r="RZQ3" t="s">
        <v>8792</v>
      </c>
      <c r="RZR3" t="s">
        <v>8793</v>
      </c>
      <c r="RZS3" t="s">
        <v>8840</v>
      </c>
      <c r="RZT3" t="s">
        <v>8792</v>
      </c>
      <c r="RZU3" t="s">
        <v>8841</v>
      </c>
      <c r="RZV3">
        <v>0</v>
      </c>
      <c r="RZW3">
        <v>0</v>
      </c>
      <c r="RZX3" t="s">
        <v>47</v>
      </c>
      <c r="RZY3" t="s">
        <v>1503</v>
      </c>
      <c r="RZZ3" t="s">
        <v>8842</v>
      </c>
      <c r="SAA3" t="s">
        <v>8843</v>
      </c>
      <c r="SAB3" t="s">
        <v>8844</v>
      </c>
      <c r="SAC3" t="s">
        <v>8845</v>
      </c>
      <c r="SAD3" t="s">
        <v>8846</v>
      </c>
      <c r="SAE3" t="s">
        <v>8847</v>
      </c>
      <c r="SAF3" t="s">
        <v>8844</v>
      </c>
      <c r="SAG3" t="s">
        <v>8848</v>
      </c>
      <c r="SAH3" t="s">
        <v>8849</v>
      </c>
      <c r="SAI3" t="s">
        <v>44</v>
      </c>
      <c r="SAJ3" t="s">
        <v>125</v>
      </c>
      <c r="SAK3" t="s">
        <v>8850</v>
      </c>
      <c r="SAL3" t="s">
        <v>8851</v>
      </c>
      <c r="SAM3" t="s">
        <v>44</v>
      </c>
      <c r="SAN3" t="s">
        <v>125</v>
      </c>
      <c r="SAO3" t="s">
        <v>8852</v>
      </c>
      <c r="SAP3" t="s">
        <v>8853</v>
      </c>
      <c r="SAQ3" t="s">
        <v>390</v>
      </c>
      <c r="SAR3" t="s">
        <v>8854</v>
      </c>
      <c r="SAS3" t="s">
        <v>8855</v>
      </c>
      <c r="SAT3" t="s">
        <v>8856</v>
      </c>
      <c r="SAU3" t="s">
        <v>8857</v>
      </c>
      <c r="SAV3" t="s">
        <v>8452</v>
      </c>
      <c r="SAW3" t="s">
        <v>8453</v>
      </c>
      <c r="SAX3" t="s">
        <v>5788</v>
      </c>
      <c r="SAY3" t="s">
        <v>44</v>
      </c>
      <c r="SAZ3" t="s">
        <v>125</v>
      </c>
      <c r="SBA3" t="s">
        <v>8858</v>
      </c>
      <c r="SBB3" t="s">
        <v>3221</v>
      </c>
      <c r="SBC3" t="s">
        <v>8859</v>
      </c>
      <c r="SBD3" t="s">
        <v>8860</v>
      </c>
      <c r="SBE3" t="s">
        <v>8331</v>
      </c>
      <c r="SBF3" t="s">
        <v>8861</v>
      </c>
      <c r="SBG3" t="s">
        <v>8862</v>
      </c>
      <c r="SBH3" t="s">
        <v>7740</v>
      </c>
      <c r="SBI3" t="s">
        <v>8863</v>
      </c>
      <c r="SBJ3" t="s">
        <v>8864</v>
      </c>
      <c r="SBK3" t="s">
        <v>8865</v>
      </c>
      <c r="SBL3" t="s">
        <v>8866</v>
      </c>
      <c r="SBM3" t="s">
        <v>8867</v>
      </c>
      <c r="SBN3" t="s">
        <v>8868</v>
      </c>
      <c r="SBO3" t="s">
        <v>8869</v>
      </c>
      <c r="SBP3" t="s">
        <v>8870</v>
      </c>
      <c r="SBQ3" t="s">
        <v>8871</v>
      </c>
      <c r="SBR3" t="s">
        <v>8872</v>
      </c>
      <c r="SBS3" t="s">
        <v>8873</v>
      </c>
      <c r="SBT3" t="s">
        <v>8874</v>
      </c>
      <c r="SBU3" t="s">
        <v>8875</v>
      </c>
      <c r="SBV3" t="s">
        <v>8876</v>
      </c>
      <c r="SBW3" t="s">
        <v>8877</v>
      </c>
      <c r="SBX3" t="s">
        <v>8878</v>
      </c>
      <c r="SBY3" t="s">
        <v>8879</v>
      </c>
      <c r="SBZ3" t="s">
        <v>8880</v>
      </c>
      <c r="SCA3" t="s">
        <v>8881</v>
      </c>
      <c r="SCB3" t="s">
        <v>8882</v>
      </c>
      <c r="SCC3" t="s">
        <v>8883</v>
      </c>
      <c r="SCD3" t="s">
        <v>8884</v>
      </c>
      <c r="SCE3" t="s">
        <v>8885</v>
      </c>
      <c r="SCF3" t="s">
        <v>44</v>
      </c>
      <c r="SCG3" t="s">
        <v>46</v>
      </c>
      <c r="SCH3" t="s">
        <v>8886</v>
      </c>
      <c r="SCI3" t="s">
        <v>8887</v>
      </c>
      <c r="SCJ3" t="s">
        <v>8888</v>
      </c>
      <c r="SCK3" t="s">
        <v>8889</v>
      </c>
      <c r="SCL3" t="s">
        <v>8890</v>
      </c>
      <c r="SCM3" t="s">
        <v>8891</v>
      </c>
      <c r="SCN3" t="s">
        <v>8892</v>
      </c>
      <c r="SCO3" t="s">
        <v>8893</v>
      </c>
      <c r="SCP3" t="s">
        <v>8894</v>
      </c>
      <c r="SCQ3" t="s">
        <v>8895</v>
      </c>
      <c r="SCR3" t="s">
        <v>8896</v>
      </c>
      <c r="SCS3" t="s">
        <v>8897</v>
      </c>
      <c r="SCT3" t="s">
        <v>6925</v>
      </c>
      <c r="SCU3" t="s">
        <v>8898</v>
      </c>
      <c r="SCV3" t="s">
        <v>863</v>
      </c>
      <c r="SCW3" t="s">
        <v>8899</v>
      </c>
      <c r="SCX3" t="s">
        <v>863</v>
      </c>
      <c r="SCY3" t="s">
        <v>8900</v>
      </c>
      <c r="SCZ3" t="s">
        <v>8901</v>
      </c>
      <c r="SDA3" t="s">
        <v>8902</v>
      </c>
      <c r="SDB3" t="s">
        <v>8903</v>
      </c>
      <c r="SDC3" t="s">
        <v>8904</v>
      </c>
      <c r="SDD3" t="s">
        <v>6925</v>
      </c>
      <c r="SDE3" t="s">
        <v>8905</v>
      </c>
      <c r="SDF3" t="s">
        <v>8906</v>
      </c>
      <c r="SDG3" t="s">
        <v>8907</v>
      </c>
      <c r="SDH3" t="s">
        <v>8908</v>
      </c>
      <c r="SDI3" t="s">
        <v>8909</v>
      </c>
      <c r="SDJ3" t="s">
        <v>8910</v>
      </c>
      <c r="SDK3" t="s">
        <v>8911</v>
      </c>
      <c r="SDL3" t="s">
        <v>8912</v>
      </c>
      <c r="SDM3" t="s">
        <v>8913</v>
      </c>
      <c r="SDN3" t="s">
        <v>8914</v>
      </c>
      <c r="SDO3" t="s">
        <v>8915</v>
      </c>
      <c r="SDP3" t="s">
        <v>8916</v>
      </c>
      <c r="SDQ3" t="s">
        <v>8917</v>
      </c>
      <c r="SDR3" t="s">
        <v>8918</v>
      </c>
      <c r="SDS3" t="s">
        <v>8919</v>
      </c>
      <c r="SDT3" t="s">
        <v>8920</v>
      </c>
      <c r="SDU3" t="s">
        <v>8921</v>
      </c>
      <c r="SDV3" t="s">
        <v>8922</v>
      </c>
      <c r="SDW3" t="s">
        <v>8923</v>
      </c>
      <c r="SDX3" t="s">
        <v>8924</v>
      </c>
      <c r="SDY3" t="s">
        <v>8925</v>
      </c>
      <c r="SDZ3" t="s">
        <v>8321</v>
      </c>
      <c r="SEA3" t="s">
        <v>8926</v>
      </c>
      <c r="SEB3" t="s">
        <v>8927</v>
      </c>
      <c r="SEC3" t="s">
        <v>8928</v>
      </c>
      <c r="SED3" t="s">
        <v>8929</v>
      </c>
      <c r="SEE3" t="s">
        <v>8930</v>
      </c>
      <c r="SEF3" t="s">
        <v>8931</v>
      </c>
      <c r="SEG3" t="s">
        <v>8930</v>
      </c>
      <c r="SEH3" t="s">
        <v>8932</v>
      </c>
      <c r="SEI3" t="s">
        <v>8933</v>
      </c>
      <c r="SEJ3" t="s">
        <v>8934</v>
      </c>
      <c r="SEK3" t="s">
        <v>8935</v>
      </c>
      <c r="SEL3" t="s">
        <v>44</v>
      </c>
      <c r="SEM3" t="s">
        <v>125</v>
      </c>
      <c r="SEN3" t="s">
        <v>8936</v>
      </c>
      <c r="SEO3" t="s">
        <v>8937</v>
      </c>
      <c r="SEP3" t="s">
        <v>8938</v>
      </c>
      <c r="SEQ3" t="s">
        <v>8939</v>
      </c>
      <c r="SER3" t="s">
        <v>8940</v>
      </c>
      <c r="SES3" t="s">
        <v>8941</v>
      </c>
      <c r="SET3" t="s">
        <v>8942</v>
      </c>
      <c r="SEU3" t="s">
        <v>8943</v>
      </c>
      <c r="SEV3" t="s">
        <v>8944</v>
      </c>
      <c r="SEW3" t="s">
        <v>5840</v>
      </c>
      <c r="SEX3" t="s">
        <v>8945</v>
      </c>
      <c r="SEY3" t="s">
        <v>8946</v>
      </c>
      <c r="SEZ3" t="s">
        <v>8947</v>
      </c>
      <c r="SFA3" t="s">
        <v>8948</v>
      </c>
      <c r="SFB3" t="s">
        <v>8949</v>
      </c>
      <c r="SFC3" t="s">
        <v>8950</v>
      </c>
      <c r="SFD3" t="s">
        <v>8951</v>
      </c>
      <c r="SFE3" t="s">
        <v>8952</v>
      </c>
      <c r="SFF3" t="s">
        <v>8953</v>
      </c>
      <c r="SFG3" t="s">
        <v>8954</v>
      </c>
      <c r="SFH3" t="s">
        <v>8955</v>
      </c>
      <c r="SFI3" t="s">
        <v>8465</v>
      </c>
      <c r="SFJ3" t="s">
        <v>8956</v>
      </c>
      <c r="SFK3" t="s">
        <v>8957</v>
      </c>
      <c r="SFL3" t="s">
        <v>8958</v>
      </c>
      <c r="SFM3" t="s">
        <v>8959</v>
      </c>
      <c r="SFN3" t="s">
        <v>8960</v>
      </c>
      <c r="SFO3" t="s">
        <v>393</v>
      </c>
      <c r="SFP3" t="s">
        <v>8961</v>
      </c>
      <c r="SFQ3" t="s">
        <v>8757</v>
      </c>
      <c r="SFR3" t="s">
        <v>4324</v>
      </c>
      <c r="SFS3" t="s">
        <v>8962</v>
      </c>
      <c r="SFT3" t="s">
        <v>8963</v>
      </c>
      <c r="SFU3" t="s">
        <v>8964</v>
      </c>
      <c r="SFV3" t="s">
        <v>49</v>
      </c>
      <c r="SFW3" t="s">
        <v>8965</v>
      </c>
      <c r="SFX3" t="s">
        <v>8966</v>
      </c>
      <c r="SFY3" t="s">
        <v>8967</v>
      </c>
      <c r="SFZ3" t="s">
        <v>8968</v>
      </c>
      <c r="SGA3" t="s">
        <v>8969</v>
      </c>
      <c r="SGB3" t="s">
        <v>8970</v>
      </c>
      <c r="SGC3" t="s">
        <v>44</v>
      </c>
      <c r="SGD3" t="s">
        <v>8971</v>
      </c>
      <c r="SGE3" t="s">
        <v>8972</v>
      </c>
      <c r="SGF3" t="s">
        <v>44</v>
      </c>
      <c r="SGG3" t="s">
        <v>8973</v>
      </c>
      <c r="SGH3" t="s">
        <v>125</v>
      </c>
      <c r="SGI3" t="s">
        <v>47</v>
      </c>
      <c r="SGJ3" t="s">
        <v>266</v>
      </c>
      <c r="SGK3" t="s">
        <v>8974</v>
      </c>
      <c r="SGL3" t="s">
        <v>398</v>
      </c>
      <c r="SGM3" t="s">
        <v>8975</v>
      </c>
      <c r="SGN3" t="s">
        <v>125</v>
      </c>
      <c r="SGO3" t="s">
        <v>49</v>
      </c>
      <c r="SGP3" t="s">
        <v>266</v>
      </c>
      <c r="SGQ3" t="s">
        <v>1882</v>
      </c>
      <c r="SGR3" t="s">
        <v>8976</v>
      </c>
      <c r="SGS3" t="s">
        <v>8977</v>
      </c>
      <c r="SGT3" t="s">
        <v>125</v>
      </c>
      <c r="SGU3" t="s">
        <v>49</v>
      </c>
      <c r="SGV3" t="s">
        <v>266</v>
      </c>
      <c r="SGW3" t="s">
        <v>8978</v>
      </c>
      <c r="SGX3" t="s">
        <v>125</v>
      </c>
      <c r="SGY3" t="s">
        <v>850</v>
      </c>
      <c r="SGZ3" t="s">
        <v>850</v>
      </c>
      <c r="SHA3" t="s">
        <v>8490</v>
      </c>
      <c r="SHB3" t="s">
        <v>8979</v>
      </c>
      <c r="SHC3" t="s">
        <v>44</v>
      </c>
      <c r="SHD3" t="s">
        <v>8980</v>
      </c>
      <c r="SHE3" t="s">
        <v>8493</v>
      </c>
      <c r="SHF3" t="s">
        <v>8981</v>
      </c>
      <c r="SHG3" t="s">
        <v>8982</v>
      </c>
      <c r="SHH3" t="s">
        <v>8983</v>
      </c>
      <c r="SHI3" t="s">
        <v>8984</v>
      </c>
      <c r="SHJ3" t="s">
        <v>44</v>
      </c>
      <c r="SHK3" t="s">
        <v>8985</v>
      </c>
      <c r="SHL3" t="s">
        <v>3711</v>
      </c>
      <c r="SHM3" t="s">
        <v>2596</v>
      </c>
      <c r="SHN3" t="s">
        <v>8986</v>
      </c>
      <c r="SHO3" t="s">
        <v>44</v>
      </c>
      <c r="SHP3" t="s">
        <v>8987</v>
      </c>
      <c r="SHQ3" t="s">
        <v>8988</v>
      </c>
      <c r="SHR3" t="s">
        <v>8989</v>
      </c>
      <c r="SHS3" t="s">
        <v>8990</v>
      </c>
      <c r="SHT3" t="s">
        <v>8991</v>
      </c>
      <c r="SHU3" t="s">
        <v>8992</v>
      </c>
      <c r="SHV3" t="s">
        <v>8993</v>
      </c>
      <c r="SHW3" t="s">
        <v>8994</v>
      </c>
      <c r="SHX3" t="s">
        <v>8995</v>
      </c>
      <c r="SHY3" t="s">
        <v>8996</v>
      </c>
      <c r="SHZ3" t="s">
        <v>8997</v>
      </c>
      <c r="SIA3" t="s">
        <v>8998</v>
      </c>
      <c r="SIB3" t="s">
        <v>8999</v>
      </c>
      <c r="SIC3" t="s">
        <v>9000</v>
      </c>
      <c r="SID3" t="s">
        <v>9001</v>
      </c>
      <c r="SIE3" t="s">
        <v>6080</v>
      </c>
      <c r="SIF3" t="s">
        <v>5840</v>
      </c>
      <c r="SIG3" t="s">
        <v>4178</v>
      </c>
      <c r="SIH3" t="s">
        <v>9002</v>
      </c>
      <c r="SII3" t="s">
        <v>9003</v>
      </c>
      <c r="SIJ3" t="s">
        <v>9004</v>
      </c>
      <c r="SIK3" t="s">
        <v>9005</v>
      </c>
      <c r="SIL3" t="s">
        <v>9006</v>
      </c>
      <c r="SIM3" t="s">
        <v>9007</v>
      </c>
      <c r="SIN3" t="s">
        <v>44</v>
      </c>
      <c r="SIO3" t="s">
        <v>9008</v>
      </c>
      <c r="SIP3" t="s">
        <v>9009</v>
      </c>
      <c r="SIQ3" t="s">
        <v>9010</v>
      </c>
      <c r="SIR3" t="s">
        <v>896</v>
      </c>
      <c r="SIS3" t="s">
        <v>310</v>
      </c>
      <c r="SIT3" t="s">
        <v>1308</v>
      </c>
      <c r="SIU3" t="s">
        <v>9011</v>
      </c>
      <c r="SIV3" t="s">
        <v>9012</v>
      </c>
      <c r="SIW3" t="s">
        <v>9013</v>
      </c>
      <c r="SIX3" t="s">
        <v>9014</v>
      </c>
      <c r="SIY3" t="s">
        <v>9015</v>
      </c>
      <c r="SIZ3" t="s">
        <v>9016</v>
      </c>
      <c r="SJA3" t="s">
        <v>9017</v>
      </c>
      <c r="SJB3" t="s">
        <v>9018</v>
      </c>
      <c r="SJC3" t="s">
        <v>9019</v>
      </c>
      <c r="SJD3" t="s">
        <v>9020</v>
      </c>
      <c r="SJE3" t="s">
        <v>9021</v>
      </c>
      <c r="SJF3" t="s">
        <v>9022</v>
      </c>
      <c r="SJG3" t="s">
        <v>9023</v>
      </c>
      <c r="SJH3" t="s">
        <v>9024</v>
      </c>
      <c r="SJI3" t="s">
        <v>9025</v>
      </c>
      <c r="SJJ3" t="s">
        <v>9026</v>
      </c>
      <c r="SJK3" t="s">
        <v>9027</v>
      </c>
      <c r="SJL3" t="s">
        <v>9028</v>
      </c>
      <c r="SJM3" t="s">
        <v>9029</v>
      </c>
      <c r="SJN3" t="s">
        <v>9030</v>
      </c>
      <c r="SJO3" t="s">
        <v>9031</v>
      </c>
      <c r="SJP3" t="s">
        <v>9032</v>
      </c>
      <c r="SJQ3" t="s">
        <v>9033</v>
      </c>
      <c r="SJR3" t="s">
        <v>9034</v>
      </c>
      <c r="SJS3" t="s">
        <v>9035</v>
      </c>
      <c r="SJT3" t="s">
        <v>9036</v>
      </c>
      <c r="SJU3" t="s">
        <v>9037</v>
      </c>
      <c r="SJV3" t="s">
        <v>9038</v>
      </c>
      <c r="SJW3" t="s">
        <v>8998</v>
      </c>
      <c r="SJX3" t="s">
        <v>9039</v>
      </c>
      <c r="SJY3" t="s">
        <v>9040</v>
      </c>
      <c r="SJZ3" t="s">
        <v>9041</v>
      </c>
      <c r="SKA3" t="s">
        <v>9042</v>
      </c>
      <c r="SKB3" t="s">
        <v>9043</v>
      </c>
      <c r="SKC3" t="s">
        <v>9044</v>
      </c>
      <c r="SKD3" t="s">
        <v>9045</v>
      </c>
      <c r="SKE3" t="s">
        <v>9046</v>
      </c>
      <c r="SKF3" t="s">
        <v>9047</v>
      </c>
      <c r="SKG3" t="s">
        <v>9048</v>
      </c>
      <c r="SKH3" t="s">
        <v>9049</v>
      </c>
      <c r="SKI3" t="s">
        <v>9050</v>
      </c>
      <c r="SKJ3" t="s">
        <v>9051</v>
      </c>
      <c r="SKK3" t="s">
        <v>9052</v>
      </c>
      <c r="SKL3" t="s">
        <v>9053</v>
      </c>
      <c r="SKM3" t="s">
        <v>9054</v>
      </c>
      <c r="SKN3" t="s">
        <v>9055</v>
      </c>
      <c r="SKO3" t="s">
        <v>8998</v>
      </c>
      <c r="SKP3" t="s">
        <v>9056</v>
      </c>
      <c r="SKQ3" t="s">
        <v>9040</v>
      </c>
      <c r="SKR3" t="s">
        <v>9041</v>
      </c>
      <c r="SKS3" t="s">
        <v>9057</v>
      </c>
      <c r="SKT3" t="s">
        <v>9043</v>
      </c>
      <c r="SKU3" t="s">
        <v>9058</v>
      </c>
      <c r="SKV3" t="s">
        <v>9059</v>
      </c>
      <c r="SKW3" t="s">
        <v>9060</v>
      </c>
      <c r="SKX3" t="s">
        <v>9061</v>
      </c>
      <c r="SKY3" t="s">
        <v>9062</v>
      </c>
      <c r="SKZ3" t="s">
        <v>9063</v>
      </c>
      <c r="SLA3" t="s">
        <v>9064</v>
      </c>
      <c r="SLB3" t="s">
        <v>9065</v>
      </c>
      <c r="SLC3" t="s">
        <v>9066</v>
      </c>
      <c r="SLD3" t="s">
        <v>9067</v>
      </c>
      <c r="SLE3" t="s">
        <v>9068</v>
      </c>
      <c r="SLF3" t="s">
        <v>9069</v>
      </c>
      <c r="SLG3" t="s">
        <v>9070</v>
      </c>
      <c r="SLH3" t="s">
        <v>9071</v>
      </c>
      <c r="SLI3" t="s">
        <v>9072</v>
      </c>
      <c r="SLJ3" t="s">
        <v>9073</v>
      </c>
      <c r="SLK3" t="s">
        <v>9074</v>
      </c>
      <c r="SLL3" t="s">
        <v>9075</v>
      </c>
      <c r="SLM3" t="s">
        <v>9076</v>
      </c>
      <c r="SLN3" t="s">
        <v>9077</v>
      </c>
      <c r="SLO3" t="s">
        <v>4517</v>
      </c>
      <c r="SLP3" t="s">
        <v>9078</v>
      </c>
      <c r="SLQ3" t="s">
        <v>9079</v>
      </c>
      <c r="SLR3" t="s">
        <v>9080</v>
      </c>
      <c r="SLS3" t="s">
        <v>9081</v>
      </c>
      <c r="SLT3" t="s">
        <v>9082</v>
      </c>
      <c r="SLU3" t="s">
        <v>9083</v>
      </c>
      <c r="SLV3" t="s">
        <v>9084</v>
      </c>
      <c r="SLW3" t="s">
        <v>9085</v>
      </c>
      <c r="SLX3" t="s">
        <v>9086</v>
      </c>
      <c r="SLY3" t="s">
        <v>1494</v>
      </c>
      <c r="SLZ3" t="s">
        <v>9087</v>
      </c>
      <c r="SMA3" t="s">
        <v>9088</v>
      </c>
      <c r="SMB3" t="s">
        <v>9089</v>
      </c>
      <c r="SMC3" t="s">
        <v>9090</v>
      </c>
      <c r="SMD3" t="s">
        <v>8997</v>
      </c>
      <c r="SME3" t="s">
        <v>9091</v>
      </c>
      <c r="SMF3" t="s">
        <v>9092</v>
      </c>
      <c r="SMG3" t="s">
        <v>9093</v>
      </c>
      <c r="SMH3" t="s">
        <v>9094</v>
      </c>
      <c r="SMI3" t="s">
        <v>9095</v>
      </c>
      <c r="SMJ3" t="s">
        <v>9096</v>
      </c>
      <c r="SMK3" t="s">
        <v>9097</v>
      </c>
      <c r="SML3" t="s">
        <v>9098</v>
      </c>
      <c r="SMM3" t="s">
        <v>1400</v>
      </c>
      <c r="SMN3" t="s">
        <v>9099</v>
      </c>
      <c r="SMO3" t="s">
        <v>9083</v>
      </c>
      <c r="SMP3" t="s">
        <v>9084</v>
      </c>
      <c r="SMQ3" t="s">
        <v>9085</v>
      </c>
      <c r="SMR3" t="s">
        <v>9086</v>
      </c>
      <c r="SMS3" t="s">
        <v>1494</v>
      </c>
      <c r="SMT3" t="s">
        <v>9087</v>
      </c>
      <c r="SMU3" t="s">
        <v>9100</v>
      </c>
      <c r="SMV3" t="s">
        <v>1494</v>
      </c>
      <c r="SMW3" t="s">
        <v>9101</v>
      </c>
      <c r="SMX3" t="s">
        <v>9102</v>
      </c>
      <c r="SMY3" t="s">
        <v>9050</v>
      </c>
      <c r="SMZ3" t="s">
        <v>9103</v>
      </c>
      <c r="SNA3" t="s">
        <v>9104</v>
      </c>
      <c r="SNB3" t="s">
        <v>1494</v>
      </c>
      <c r="SNC3" t="s">
        <v>9105</v>
      </c>
      <c r="SND3" t="s">
        <v>9106</v>
      </c>
      <c r="SNE3" t="s">
        <v>9064</v>
      </c>
      <c r="SNF3" t="s">
        <v>9107</v>
      </c>
      <c r="SNG3" t="s">
        <v>9108</v>
      </c>
      <c r="SNH3" t="s">
        <v>9109</v>
      </c>
      <c r="SNI3" t="s">
        <v>9110</v>
      </c>
      <c r="SNJ3" t="s">
        <v>9111</v>
      </c>
      <c r="SNK3" t="s">
        <v>4201</v>
      </c>
      <c r="SNL3" t="s">
        <v>9112</v>
      </c>
      <c r="SNM3" t="s">
        <v>9113</v>
      </c>
      <c r="SNN3" t="s">
        <v>9114</v>
      </c>
      <c r="SNO3" t="s">
        <v>9111</v>
      </c>
      <c r="SNP3" t="s">
        <v>4201</v>
      </c>
      <c r="SNQ3" t="s">
        <v>9115</v>
      </c>
      <c r="SNR3" t="s">
        <v>9116</v>
      </c>
      <c r="SNS3" t="s">
        <v>9117</v>
      </c>
      <c r="SNT3" t="s">
        <v>125</v>
      </c>
      <c r="SNU3" t="s">
        <v>9118</v>
      </c>
      <c r="SNV3" t="s">
        <v>9119</v>
      </c>
      <c r="SNW3" t="s">
        <v>47</v>
      </c>
      <c r="SNX3" t="s">
        <v>9120</v>
      </c>
      <c r="SNY3" t="s">
        <v>4201</v>
      </c>
      <c r="SNZ3" t="s">
        <v>9121</v>
      </c>
      <c r="SOA3" t="s">
        <v>9122</v>
      </c>
      <c r="SOB3" t="s">
        <v>9123</v>
      </c>
      <c r="SOC3">
        <v>0</v>
      </c>
      <c r="SOD3" t="s">
        <v>1336</v>
      </c>
      <c r="SOE3" t="s">
        <v>9124</v>
      </c>
      <c r="SOF3">
        <v>0</v>
      </c>
      <c r="SOG3" t="s">
        <v>513</v>
      </c>
      <c r="SOH3" t="s">
        <v>9125</v>
      </c>
      <c r="SOI3" t="s">
        <v>9126</v>
      </c>
      <c r="SOJ3" t="s">
        <v>9127</v>
      </c>
      <c r="SOK3" t="s">
        <v>9128</v>
      </c>
      <c r="SOL3" t="s">
        <v>9129</v>
      </c>
      <c r="SOM3" t="s">
        <v>9130</v>
      </c>
      <c r="SON3" t="s">
        <v>9131</v>
      </c>
      <c r="SOO3" t="s">
        <v>9132</v>
      </c>
      <c r="SOP3" t="s">
        <v>9133</v>
      </c>
      <c r="SOQ3" t="s">
        <v>9134</v>
      </c>
      <c r="SOR3" t="s">
        <v>255</v>
      </c>
      <c r="SOS3" t="s">
        <v>9135</v>
      </c>
      <c r="SOT3" t="s">
        <v>9136</v>
      </c>
      <c r="SOU3" t="s">
        <v>9137</v>
      </c>
      <c r="SOV3" t="s">
        <v>9138</v>
      </c>
      <c r="SOW3" t="s">
        <v>9139</v>
      </c>
      <c r="SOX3" t="s">
        <v>9140</v>
      </c>
      <c r="SOY3" t="s">
        <v>9141</v>
      </c>
      <c r="SOZ3" t="s">
        <v>9142</v>
      </c>
      <c r="SPA3" t="s">
        <v>9137</v>
      </c>
      <c r="SPB3" t="s">
        <v>9138</v>
      </c>
      <c r="SPC3" t="s">
        <v>1895</v>
      </c>
      <c r="SPD3" t="s">
        <v>9140</v>
      </c>
      <c r="SPE3" t="s">
        <v>9143</v>
      </c>
      <c r="SPF3" t="s">
        <v>9144</v>
      </c>
      <c r="SPG3" t="s">
        <v>9137</v>
      </c>
      <c r="SPH3" t="s">
        <v>9145</v>
      </c>
      <c r="SPI3" t="s">
        <v>9139</v>
      </c>
      <c r="SPJ3" t="s">
        <v>9140</v>
      </c>
      <c r="SPK3" t="s">
        <v>9141</v>
      </c>
      <c r="SPL3" t="s">
        <v>9146</v>
      </c>
      <c r="SPM3" t="s">
        <v>9147</v>
      </c>
      <c r="SPN3" t="s">
        <v>9148</v>
      </c>
      <c r="SPO3" t="s">
        <v>9149</v>
      </c>
      <c r="SPP3" t="s">
        <v>9150</v>
      </c>
      <c r="SPQ3" t="s">
        <v>9151</v>
      </c>
      <c r="SPR3" t="s">
        <v>9152</v>
      </c>
      <c r="SPS3" t="s">
        <v>9153</v>
      </c>
      <c r="SPT3" t="s">
        <v>44</v>
      </c>
      <c r="SPU3" t="s">
        <v>9154</v>
      </c>
      <c r="SPV3" t="s">
        <v>255</v>
      </c>
      <c r="SPW3" t="s">
        <v>9155</v>
      </c>
      <c r="SPX3" t="s">
        <v>9156</v>
      </c>
      <c r="SPY3" t="s">
        <v>9157</v>
      </c>
      <c r="SPZ3" t="s">
        <v>255</v>
      </c>
      <c r="SQA3" t="s">
        <v>9158</v>
      </c>
      <c r="SQB3" t="s">
        <v>9159</v>
      </c>
      <c r="SQC3" t="s">
        <v>9160</v>
      </c>
      <c r="SQD3" t="s">
        <v>44</v>
      </c>
      <c r="SQE3" t="s">
        <v>9161</v>
      </c>
      <c r="SQF3" t="s">
        <v>9162</v>
      </c>
      <c r="SQG3" t="s">
        <v>44</v>
      </c>
      <c r="SQH3" t="s">
        <v>9163</v>
      </c>
      <c r="SQI3" t="s">
        <v>255</v>
      </c>
      <c r="SQJ3" t="s">
        <v>9164</v>
      </c>
      <c r="SQK3" t="s">
        <v>9165</v>
      </c>
      <c r="SQL3" t="s">
        <v>9166</v>
      </c>
      <c r="SQM3" t="s">
        <v>9167</v>
      </c>
      <c r="SQN3" t="s">
        <v>9168</v>
      </c>
      <c r="SQO3" t="s">
        <v>9169</v>
      </c>
      <c r="SQP3" t="s">
        <v>44</v>
      </c>
      <c r="SQQ3" t="s">
        <v>9170</v>
      </c>
      <c r="SQS3" t="s">
        <v>9171</v>
      </c>
      <c r="SQT3" t="s">
        <v>255</v>
      </c>
      <c r="SQU3" t="s">
        <v>9172</v>
      </c>
      <c r="SQV3" t="s">
        <v>255</v>
      </c>
      <c r="SQW3" t="s">
        <v>9173</v>
      </c>
      <c r="SQX3" t="s">
        <v>9174</v>
      </c>
      <c r="SQY3" t="s">
        <v>44</v>
      </c>
      <c r="SQZ3" t="s">
        <v>9175</v>
      </c>
      <c r="SRA3" t="s">
        <v>125</v>
      </c>
      <c r="SRB3" t="s">
        <v>9176</v>
      </c>
      <c r="SRC3" t="s">
        <v>5712</v>
      </c>
      <c r="SRD3" t="s">
        <v>255</v>
      </c>
      <c r="SRE3" t="s">
        <v>9177</v>
      </c>
      <c r="SRF3" t="s">
        <v>9178</v>
      </c>
      <c r="SRG3" t="s">
        <v>9179</v>
      </c>
      <c r="SRH3" t="s">
        <v>9180</v>
      </c>
      <c r="SRI3" t="s">
        <v>9181</v>
      </c>
      <c r="SRJ3" t="s">
        <v>9182</v>
      </c>
      <c r="SRK3" t="s">
        <v>9183</v>
      </c>
      <c r="SRL3" t="s">
        <v>9184</v>
      </c>
      <c r="SRM3" t="s">
        <v>9185</v>
      </c>
      <c r="SRN3" t="s">
        <v>9186</v>
      </c>
      <c r="SRO3" t="s">
        <v>9187</v>
      </c>
      <c r="SRP3" t="s">
        <v>9188</v>
      </c>
      <c r="SRQ3" t="s">
        <v>9189</v>
      </c>
      <c r="SRR3" t="s">
        <v>9190</v>
      </c>
      <c r="SRS3" t="s">
        <v>9186</v>
      </c>
      <c r="SRT3" t="s">
        <v>9187</v>
      </c>
      <c r="SRU3" t="s">
        <v>9188</v>
      </c>
      <c r="SRV3" t="s">
        <v>9189</v>
      </c>
      <c r="SRW3" t="s">
        <v>9191</v>
      </c>
      <c r="SRX3" t="s">
        <v>9192</v>
      </c>
      <c r="SRY3" t="s">
        <v>9193</v>
      </c>
      <c r="SRZ3" t="s">
        <v>9194</v>
      </c>
      <c r="SSA3" t="s">
        <v>9195</v>
      </c>
      <c r="SSB3" t="s">
        <v>9196</v>
      </c>
      <c r="SSC3" t="s">
        <v>9197</v>
      </c>
      <c r="SSD3" t="s">
        <v>9198</v>
      </c>
      <c r="SSE3" t="s">
        <v>9199</v>
      </c>
      <c r="SSF3" t="s">
        <v>9200</v>
      </c>
      <c r="SSG3" t="s">
        <v>9201</v>
      </c>
      <c r="SSH3" t="s">
        <v>9202</v>
      </c>
      <c r="SSI3" t="s">
        <v>9203</v>
      </c>
      <c r="SSJ3" t="s">
        <v>9204</v>
      </c>
      <c r="SSK3" t="s">
        <v>9205</v>
      </c>
      <c r="SSL3" t="s">
        <v>9206</v>
      </c>
      <c r="SSM3" t="s">
        <v>9207</v>
      </c>
      <c r="SSN3" t="s">
        <v>9208</v>
      </c>
      <c r="SSO3" t="s">
        <v>9209</v>
      </c>
      <c r="SSP3" t="s">
        <v>9210</v>
      </c>
      <c r="SSQ3" t="s">
        <v>9211</v>
      </c>
      <c r="SSR3" t="s">
        <v>9212</v>
      </c>
      <c r="SSS3" t="s">
        <v>9213</v>
      </c>
      <c r="SST3" t="s">
        <v>9214</v>
      </c>
      <c r="SSU3" t="s">
        <v>8631</v>
      </c>
      <c r="SSV3" t="s">
        <v>9215</v>
      </c>
      <c r="SSW3" t="s">
        <v>6014</v>
      </c>
      <c r="SSX3" t="s">
        <v>9216</v>
      </c>
      <c r="SSY3" t="s">
        <v>9217</v>
      </c>
      <c r="SSZ3" t="s">
        <v>6014</v>
      </c>
      <c r="STA3" t="s">
        <v>9218</v>
      </c>
      <c r="STB3" t="s">
        <v>9219</v>
      </c>
      <c r="STC3" t="s">
        <v>6014</v>
      </c>
      <c r="STD3" t="s">
        <v>5101</v>
      </c>
      <c r="STE3" t="s">
        <v>9220</v>
      </c>
      <c r="STF3">
        <v>0.625</v>
      </c>
      <c r="STG3">
        <v>0.875</v>
      </c>
      <c r="STH3" t="s">
        <v>6014</v>
      </c>
      <c r="STI3" t="s">
        <v>9218</v>
      </c>
      <c r="STJ3" t="s">
        <v>9221</v>
      </c>
      <c r="STK3">
        <v>0.7</v>
      </c>
      <c r="STL3">
        <v>0.8</v>
      </c>
      <c r="STM3" t="s">
        <v>6014</v>
      </c>
      <c r="STN3" t="s">
        <v>9222</v>
      </c>
      <c r="STO3" t="s">
        <v>9223</v>
      </c>
      <c r="STP3" t="s">
        <v>9224</v>
      </c>
      <c r="STQ3" t="s">
        <v>9225</v>
      </c>
      <c r="STR3" t="s">
        <v>9226</v>
      </c>
      <c r="STS3" t="s">
        <v>9227</v>
      </c>
      <c r="STT3" t="s">
        <v>9228</v>
      </c>
      <c r="STU3" t="s">
        <v>9229</v>
      </c>
      <c r="STV3" t="s">
        <v>9230</v>
      </c>
      <c r="STW3" t="s">
        <v>9231</v>
      </c>
      <c r="STX3" t="s">
        <v>9232</v>
      </c>
      <c r="STY3" t="s">
        <v>9233</v>
      </c>
      <c r="STZ3" t="s">
        <v>9234</v>
      </c>
      <c r="SUA3" t="s">
        <v>9235</v>
      </c>
      <c r="SUB3" t="s">
        <v>9236</v>
      </c>
      <c r="SUC3" t="s">
        <v>9237</v>
      </c>
      <c r="SUD3" t="s">
        <v>9238</v>
      </c>
      <c r="SUE3" t="s">
        <v>9239</v>
      </c>
      <c r="SUF3" t="s">
        <v>9240</v>
      </c>
      <c r="SUG3" t="s">
        <v>9241</v>
      </c>
      <c r="SUH3" t="s">
        <v>9242</v>
      </c>
      <c r="SUI3" t="s">
        <v>9243</v>
      </c>
      <c r="SUJ3" t="s">
        <v>9244</v>
      </c>
      <c r="SUK3" t="s">
        <v>9245</v>
      </c>
      <c r="SUL3" t="s">
        <v>9246</v>
      </c>
      <c r="SUM3" t="s">
        <v>9247</v>
      </c>
      <c r="SUN3" t="s">
        <v>9248</v>
      </c>
      <c r="SUO3" t="s">
        <v>9249</v>
      </c>
      <c r="SUP3" t="s">
        <v>9250</v>
      </c>
      <c r="SUQ3" t="s">
        <v>9251</v>
      </c>
      <c r="SUR3" t="s">
        <v>9252</v>
      </c>
      <c r="SUS3" t="s">
        <v>9253</v>
      </c>
      <c r="SUT3" t="s">
        <v>9254</v>
      </c>
      <c r="SUU3" t="s">
        <v>9255</v>
      </c>
      <c r="SUV3" t="s">
        <v>9256</v>
      </c>
      <c r="SUW3" t="s">
        <v>9257</v>
      </c>
      <c r="SUX3" t="s">
        <v>9258</v>
      </c>
      <c r="SUY3" t="s">
        <v>9259</v>
      </c>
      <c r="SUZ3" t="s">
        <v>9260</v>
      </c>
      <c r="SVA3" t="s">
        <v>9259</v>
      </c>
      <c r="SVB3" t="s">
        <v>9261</v>
      </c>
      <c r="SVC3" t="s">
        <v>9259</v>
      </c>
      <c r="SVD3" t="s">
        <v>9262</v>
      </c>
      <c r="SVE3" t="s">
        <v>9259</v>
      </c>
      <c r="SVF3" t="s">
        <v>9263</v>
      </c>
      <c r="SVG3" t="s">
        <v>9259</v>
      </c>
      <c r="SVH3" t="s">
        <v>9264</v>
      </c>
      <c r="SVI3" t="s">
        <v>9259</v>
      </c>
      <c r="SVJ3" t="s">
        <v>9265</v>
      </c>
      <c r="SVK3" t="s">
        <v>9266</v>
      </c>
      <c r="SVL3" t="s">
        <v>9267</v>
      </c>
      <c r="SVM3" t="s">
        <v>9268</v>
      </c>
      <c r="SVN3" t="s">
        <v>9269</v>
      </c>
      <c r="SVO3" t="s">
        <v>9270</v>
      </c>
      <c r="SVP3" t="s">
        <v>9271</v>
      </c>
      <c r="SVQ3" t="s">
        <v>9272</v>
      </c>
      <c r="SVR3" t="s">
        <v>9273</v>
      </c>
      <c r="SVS3" t="s">
        <v>44</v>
      </c>
      <c r="SVT3" t="s">
        <v>9274</v>
      </c>
      <c r="SVU3" t="s">
        <v>9275</v>
      </c>
      <c r="SVV3" t="s">
        <v>9276</v>
      </c>
      <c r="SVW3" t="s">
        <v>9277</v>
      </c>
      <c r="SVX3" t="s">
        <v>9278</v>
      </c>
      <c r="SVY3" t="s">
        <v>9279</v>
      </c>
      <c r="SVZ3" t="s">
        <v>9280</v>
      </c>
      <c r="SWA3" t="s">
        <v>9281</v>
      </c>
      <c r="SWB3" t="s">
        <v>9282</v>
      </c>
      <c r="SWC3" t="s">
        <v>9283</v>
      </c>
      <c r="SWD3" t="s">
        <v>9284</v>
      </c>
      <c r="SWE3" t="s">
        <v>9285</v>
      </c>
      <c r="SWF3" t="s">
        <v>9286</v>
      </c>
      <c r="SWG3" t="s">
        <v>9287</v>
      </c>
      <c r="SWH3" t="s">
        <v>9288</v>
      </c>
      <c r="SWI3" t="s">
        <v>9289</v>
      </c>
      <c r="SWJ3" t="s">
        <v>9290</v>
      </c>
      <c r="SWK3" t="s">
        <v>9291</v>
      </c>
      <c r="SWL3" t="s">
        <v>9292</v>
      </c>
      <c r="SWM3" t="s">
        <v>9293</v>
      </c>
      <c r="SWN3" t="s">
        <v>9294</v>
      </c>
      <c r="SWO3" t="s">
        <v>9295</v>
      </c>
      <c r="SWP3" t="s">
        <v>9296</v>
      </c>
      <c r="SWQ3" t="s">
        <v>9297</v>
      </c>
      <c r="SWR3" t="s">
        <v>9298</v>
      </c>
      <c r="SWS3" t="s">
        <v>9299</v>
      </c>
      <c r="SWT3" t="s">
        <v>9300</v>
      </c>
      <c r="SWU3" t="s">
        <v>9301</v>
      </c>
      <c r="SWV3" t="s">
        <v>9302</v>
      </c>
      <c r="SWW3" t="s">
        <v>9303</v>
      </c>
      <c r="SWX3" t="s">
        <v>9304</v>
      </c>
      <c r="SWY3" t="s">
        <v>9305</v>
      </c>
      <c r="SWZ3" t="s">
        <v>9306</v>
      </c>
      <c r="SXA3" t="s">
        <v>9307</v>
      </c>
      <c r="SXB3" t="s">
        <v>9308</v>
      </c>
      <c r="SXC3" t="s">
        <v>9309</v>
      </c>
      <c r="SXD3" t="s">
        <v>9310</v>
      </c>
      <c r="SXE3" t="s">
        <v>9311</v>
      </c>
      <c r="SXF3" t="s">
        <v>9312</v>
      </c>
      <c r="SXG3" t="s">
        <v>9313</v>
      </c>
      <c r="SXH3" t="s">
        <v>9314</v>
      </c>
      <c r="SXI3" t="s">
        <v>9315</v>
      </c>
      <c r="SXJ3" t="s">
        <v>9316</v>
      </c>
      <c r="SXK3" t="s">
        <v>9317</v>
      </c>
      <c r="SXL3" t="s">
        <v>9318</v>
      </c>
      <c r="SXM3" t="s">
        <v>9315</v>
      </c>
      <c r="SXN3" t="s">
        <v>9319</v>
      </c>
      <c r="SXO3" t="s">
        <v>9317</v>
      </c>
      <c r="SXP3" t="s">
        <v>9320</v>
      </c>
      <c r="SXQ3" t="s">
        <v>9315</v>
      </c>
      <c r="SXR3" t="s">
        <v>9321</v>
      </c>
      <c r="SXS3" t="s">
        <v>9317</v>
      </c>
      <c r="SXT3" t="s">
        <v>9322</v>
      </c>
      <c r="SXU3" t="s">
        <v>9315</v>
      </c>
      <c r="SXV3" t="s">
        <v>9323</v>
      </c>
      <c r="SXW3" t="s">
        <v>9317</v>
      </c>
      <c r="SXX3" t="s">
        <v>9324</v>
      </c>
      <c r="SXY3" t="s">
        <v>9315</v>
      </c>
      <c r="SXZ3" t="s">
        <v>9325</v>
      </c>
      <c r="SYA3" t="s">
        <v>9317</v>
      </c>
      <c r="SYB3" t="s">
        <v>9326</v>
      </c>
      <c r="SYC3" t="s">
        <v>9315</v>
      </c>
      <c r="SYD3" t="s">
        <v>9327</v>
      </c>
      <c r="SYE3" t="s">
        <v>9317</v>
      </c>
      <c r="SYF3" t="s">
        <v>9328</v>
      </c>
      <c r="SYG3" t="s">
        <v>9315</v>
      </c>
      <c r="SYH3" t="s">
        <v>9329</v>
      </c>
      <c r="SYI3" t="s">
        <v>9317</v>
      </c>
      <c r="SYJ3" t="s">
        <v>9330</v>
      </c>
      <c r="SYK3" t="s">
        <v>9315</v>
      </c>
      <c r="SYL3" t="s">
        <v>9331</v>
      </c>
      <c r="SYM3" t="s">
        <v>9317</v>
      </c>
      <c r="SYN3" t="s">
        <v>9332</v>
      </c>
      <c r="SYO3" t="s">
        <v>9315</v>
      </c>
      <c r="SYP3" t="s">
        <v>9333</v>
      </c>
      <c r="SYQ3" t="s">
        <v>9317</v>
      </c>
      <c r="SYR3" t="s">
        <v>9334</v>
      </c>
      <c r="SYS3" t="s">
        <v>9315</v>
      </c>
      <c r="SYT3" t="s">
        <v>9335</v>
      </c>
      <c r="SYU3" t="s">
        <v>9317</v>
      </c>
      <c r="SYV3" t="s">
        <v>9336</v>
      </c>
      <c r="SYW3" t="s">
        <v>9315</v>
      </c>
      <c r="SYX3" t="s">
        <v>9337</v>
      </c>
      <c r="SYY3" t="s">
        <v>9317</v>
      </c>
      <c r="SYZ3" t="s">
        <v>9338</v>
      </c>
      <c r="SZA3" t="s">
        <v>9315</v>
      </c>
      <c r="SZB3" t="s">
        <v>9339</v>
      </c>
      <c r="SZC3" t="s">
        <v>9317</v>
      </c>
      <c r="SZD3" t="s">
        <v>9340</v>
      </c>
      <c r="SZE3" t="s">
        <v>9315</v>
      </c>
      <c r="SZF3" t="s">
        <v>9341</v>
      </c>
      <c r="SZG3" t="s">
        <v>9317</v>
      </c>
      <c r="SZH3" t="s">
        <v>9342</v>
      </c>
      <c r="SZI3" t="s">
        <v>9315</v>
      </c>
      <c r="SZJ3" t="s">
        <v>9343</v>
      </c>
      <c r="SZK3" t="s">
        <v>9317</v>
      </c>
      <c r="SZL3" t="s">
        <v>9344</v>
      </c>
      <c r="SZM3" t="s">
        <v>9315</v>
      </c>
      <c r="SZN3" t="s">
        <v>9345</v>
      </c>
      <c r="SZO3" t="s">
        <v>9317</v>
      </c>
      <c r="SZP3" t="s">
        <v>9346</v>
      </c>
      <c r="SZQ3" t="s">
        <v>9315</v>
      </c>
      <c r="SZR3" t="s">
        <v>9347</v>
      </c>
      <c r="SZS3" t="s">
        <v>9317</v>
      </c>
      <c r="SZT3" t="s">
        <v>9348</v>
      </c>
      <c r="SZU3" t="s">
        <v>9315</v>
      </c>
      <c r="SZV3" t="s">
        <v>9349</v>
      </c>
      <c r="SZW3" t="s">
        <v>9317</v>
      </c>
      <c r="SZX3" t="s">
        <v>9350</v>
      </c>
      <c r="SZY3" t="s">
        <v>9351</v>
      </c>
      <c r="SZZ3" t="s">
        <v>9352</v>
      </c>
      <c r="TAA3" t="s">
        <v>9353</v>
      </c>
      <c r="TAB3">
        <v>7.31</v>
      </c>
      <c r="TAC3">
        <v>0</v>
      </c>
      <c r="TAD3">
        <v>0</v>
      </c>
      <c r="TAE3" t="s">
        <v>9354</v>
      </c>
      <c r="TAF3" t="s">
        <v>9355</v>
      </c>
      <c r="TAG3" t="s">
        <v>9356</v>
      </c>
      <c r="TAH3" t="s">
        <v>9357</v>
      </c>
      <c r="TAI3" t="s">
        <v>9358</v>
      </c>
      <c r="TAJ3" t="s">
        <v>9359</v>
      </c>
      <c r="TAK3" t="s">
        <v>9360</v>
      </c>
      <c r="TAL3">
        <v>4.75</v>
      </c>
      <c r="TAM3">
        <v>3.14</v>
      </c>
      <c r="TAN3">
        <v>5.17</v>
      </c>
      <c r="TAO3">
        <v>9</v>
      </c>
      <c r="TAP3">
        <v>0.17</v>
      </c>
      <c r="TAQ3" t="s">
        <v>9361</v>
      </c>
      <c r="TAR3" t="s">
        <v>9362</v>
      </c>
      <c r="TAS3" t="s">
        <v>9363</v>
      </c>
      <c r="TAT3">
        <v>224.17</v>
      </c>
      <c r="TAU3">
        <v>0</v>
      </c>
      <c r="TAV3">
        <v>0</v>
      </c>
      <c r="TAW3">
        <v>0</v>
      </c>
      <c r="TAX3">
        <v>1.5</v>
      </c>
      <c r="TAY3" t="s">
        <v>9364</v>
      </c>
      <c r="TAZ3">
        <v>10.76</v>
      </c>
      <c r="TBA3">
        <v>4</v>
      </c>
      <c r="TBB3">
        <v>12.22</v>
      </c>
      <c r="TBC3">
        <v>4.4800000000000004</v>
      </c>
      <c r="TBD3" t="s">
        <v>9365</v>
      </c>
      <c r="TBE3" t="s">
        <v>9366</v>
      </c>
      <c r="TBF3" t="s">
        <v>9367</v>
      </c>
      <c r="TBG3" t="s">
        <v>9368</v>
      </c>
      <c r="TBH3">
        <v>81.569999999999993</v>
      </c>
      <c r="TBI3">
        <v>37.68</v>
      </c>
      <c r="TBJ3">
        <v>85.64</v>
      </c>
      <c r="TBK3">
        <v>33.21</v>
      </c>
      <c r="TBL3" t="s">
        <v>9369</v>
      </c>
      <c r="TBM3" t="s">
        <v>9370</v>
      </c>
      <c r="TBN3">
        <v>11.34</v>
      </c>
      <c r="TBO3">
        <v>0</v>
      </c>
      <c r="TBP3">
        <v>0</v>
      </c>
      <c r="TBQ3">
        <v>0</v>
      </c>
      <c r="TBR3" t="s">
        <v>9371</v>
      </c>
      <c r="TBS3">
        <v>44.5</v>
      </c>
      <c r="TBT3">
        <v>74.72</v>
      </c>
      <c r="TBU3">
        <v>32</v>
      </c>
      <c r="TBV3">
        <v>56.9</v>
      </c>
      <c r="TBW3" t="s">
        <v>9372</v>
      </c>
      <c r="TBX3" t="s">
        <v>9373</v>
      </c>
      <c r="TBY3" t="s">
        <v>9374</v>
      </c>
      <c r="TBZ3" t="s">
        <v>9375</v>
      </c>
      <c r="TCA3" t="s">
        <v>9376</v>
      </c>
      <c r="TCB3" t="s">
        <v>9377</v>
      </c>
      <c r="TCC3">
        <v>7.91</v>
      </c>
      <c r="TCD3">
        <v>0</v>
      </c>
      <c r="TCE3">
        <v>0</v>
      </c>
      <c r="TCF3">
        <v>1</v>
      </c>
      <c r="TCG3" t="s">
        <v>9378</v>
      </c>
      <c r="TCH3">
        <v>8</v>
      </c>
      <c r="TCI3" t="s">
        <v>9379</v>
      </c>
      <c r="TCJ3" t="s">
        <v>9380</v>
      </c>
      <c r="TCK3">
        <v>6.37</v>
      </c>
      <c r="TCL3">
        <v>0</v>
      </c>
      <c r="TCM3">
        <v>0</v>
      </c>
      <c r="TCN3" s="2">
        <v>45660</v>
      </c>
      <c r="TCO3" t="s">
        <v>9381</v>
      </c>
      <c r="TCP3">
        <v>74.59</v>
      </c>
      <c r="TCQ3">
        <v>44.62</v>
      </c>
      <c r="TCR3" t="s">
        <v>9382</v>
      </c>
      <c r="TCS3" t="s">
        <v>9383</v>
      </c>
      <c r="TCT3">
        <v>6.9</v>
      </c>
      <c r="TCU3">
        <v>0</v>
      </c>
      <c r="TCV3">
        <v>1</v>
      </c>
      <c r="TCW3">
        <v>0</v>
      </c>
      <c r="TCX3">
        <v>64.64</v>
      </c>
      <c r="TCY3">
        <v>61</v>
      </c>
      <c r="TCZ3">
        <v>6.91</v>
      </c>
      <c r="TDA3">
        <v>6.91</v>
      </c>
      <c r="TDB3">
        <v>0</v>
      </c>
      <c r="TDC3">
        <v>0</v>
      </c>
      <c r="TDD3">
        <v>0</v>
      </c>
      <c r="TDE3">
        <v>71.540000000000006</v>
      </c>
      <c r="TDF3" t="s">
        <v>9384</v>
      </c>
      <c r="TDG3" t="s">
        <v>9385</v>
      </c>
      <c r="TDH3">
        <v>2.85</v>
      </c>
      <c r="TDI3">
        <v>0</v>
      </c>
      <c r="TDJ3">
        <v>1</v>
      </c>
      <c r="TDK3" t="s">
        <v>9386</v>
      </c>
      <c r="TDL3">
        <v>2.86</v>
      </c>
      <c r="TDM3">
        <v>0</v>
      </c>
      <c r="TDN3">
        <v>0</v>
      </c>
      <c r="TDO3">
        <v>1</v>
      </c>
      <c r="TDP3">
        <v>67.489999999999995</v>
      </c>
      <c r="TDQ3" t="s">
        <v>9387</v>
      </c>
      <c r="TDR3" t="s">
        <v>9388</v>
      </c>
      <c r="TDS3">
        <v>56.45</v>
      </c>
      <c r="TDT3">
        <v>44.26</v>
      </c>
      <c r="TDU3" t="s">
        <v>9389</v>
      </c>
      <c r="TDV3" t="s">
        <v>9390</v>
      </c>
      <c r="TDW3">
        <v>35.67</v>
      </c>
      <c r="TDX3">
        <v>84.14</v>
      </c>
      <c r="TDY3" t="s">
        <v>9391</v>
      </c>
      <c r="TDZ3" t="s">
        <v>9392</v>
      </c>
      <c r="TEA3" t="s">
        <v>9393</v>
      </c>
      <c r="TEB3">
        <v>8</v>
      </c>
      <c r="TEC3" t="s">
        <v>9394</v>
      </c>
      <c r="TED3" t="s">
        <v>9395</v>
      </c>
      <c r="TEE3" t="s">
        <v>9396</v>
      </c>
      <c r="TEF3" t="s">
        <v>9397</v>
      </c>
      <c r="TEG3" t="s">
        <v>9398</v>
      </c>
      <c r="TEH3" t="s">
        <v>9399</v>
      </c>
      <c r="TEI3" t="s">
        <v>9400</v>
      </c>
      <c r="TEJ3">
        <v>26.56</v>
      </c>
      <c r="TEK3">
        <v>0</v>
      </c>
      <c r="TEL3">
        <v>0</v>
      </c>
      <c r="TEM3" t="s">
        <v>9401</v>
      </c>
      <c r="TEN3" t="s">
        <v>9402</v>
      </c>
      <c r="TEO3" t="s">
        <v>9403</v>
      </c>
      <c r="TEP3">
        <v>26.57</v>
      </c>
      <c r="TEQ3">
        <v>0</v>
      </c>
      <c r="TER3">
        <v>0</v>
      </c>
      <c r="TES3" t="s">
        <v>9401</v>
      </c>
      <c r="TET3">
        <v>0</v>
      </c>
      <c r="TEU3">
        <v>23.74</v>
      </c>
      <c r="TEV3">
        <v>23.74</v>
      </c>
      <c r="TEW3">
        <v>0</v>
      </c>
      <c r="TEX3">
        <v>0</v>
      </c>
      <c r="TEY3">
        <v>0</v>
      </c>
      <c r="TEZ3">
        <v>0</v>
      </c>
      <c r="TFA3" t="s">
        <v>9404</v>
      </c>
      <c r="TFB3" t="s">
        <v>9405</v>
      </c>
      <c r="TFC3">
        <v>3.22</v>
      </c>
      <c r="TFD3">
        <v>0</v>
      </c>
      <c r="TFE3">
        <v>0</v>
      </c>
      <c r="TFF3">
        <v>0</v>
      </c>
      <c r="TFG3">
        <v>4.42</v>
      </c>
      <c r="TFH3" t="s">
        <v>9406</v>
      </c>
      <c r="TFI3">
        <v>23.73</v>
      </c>
      <c r="TFJ3">
        <v>0</v>
      </c>
      <c r="TFK3">
        <v>0</v>
      </c>
      <c r="TFL3">
        <v>0</v>
      </c>
      <c r="TFM3" t="s">
        <v>9407</v>
      </c>
      <c r="TFN3">
        <v>51.24</v>
      </c>
      <c r="TFO3">
        <v>50.16</v>
      </c>
      <c r="TFP3">
        <v>83.35</v>
      </c>
      <c r="TFQ3">
        <v>16.350000000000001</v>
      </c>
      <c r="TFR3" t="s">
        <v>9408</v>
      </c>
      <c r="TFS3">
        <v>17.28</v>
      </c>
      <c r="TFT3">
        <v>0</v>
      </c>
      <c r="TFU3">
        <v>0</v>
      </c>
      <c r="TFV3">
        <v>1</v>
      </c>
      <c r="TFW3" t="s">
        <v>9409</v>
      </c>
      <c r="TFX3">
        <v>20</v>
      </c>
      <c r="TFY3">
        <v>20</v>
      </c>
      <c r="TFZ3">
        <v>0</v>
      </c>
      <c r="TGA3">
        <v>0</v>
      </c>
      <c r="TGB3">
        <v>1</v>
      </c>
      <c r="TGC3">
        <v>27.3</v>
      </c>
      <c r="TGD3" t="s">
        <v>9410</v>
      </c>
      <c r="TGE3" t="s">
        <v>9411</v>
      </c>
      <c r="TGF3">
        <v>3.23</v>
      </c>
      <c r="TGG3">
        <v>0</v>
      </c>
      <c r="TGH3">
        <v>0</v>
      </c>
      <c r="TGI3">
        <v>0</v>
      </c>
      <c r="TGJ3">
        <v>4.4400000000000004</v>
      </c>
      <c r="TGK3" t="s">
        <v>9412</v>
      </c>
      <c r="TGL3">
        <v>20</v>
      </c>
      <c r="TGM3">
        <v>0</v>
      </c>
      <c r="TGN3">
        <v>0</v>
      </c>
      <c r="TGO3">
        <v>1</v>
      </c>
      <c r="TGP3">
        <v>27.3</v>
      </c>
      <c r="TGQ3">
        <v>0</v>
      </c>
      <c r="TGR3">
        <v>17.27</v>
      </c>
      <c r="TGS3">
        <v>17.27</v>
      </c>
      <c r="TGT3">
        <v>0</v>
      </c>
      <c r="TGU3">
        <v>0</v>
      </c>
      <c r="TGV3">
        <v>1</v>
      </c>
      <c r="TGW3">
        <v>0</v>
      </c>
      <c r="TGX3" t="s">
        <v>9413</v>
      </c>
      <c r="TGY3" t="s">
        <v>9414</v>
      </c>
      <c r="TGZ3" t="s">
        <v>9415</v>
      </c>
      <c r="THA3" t="s">
        <v>9416</v>
      </c>
      <c r="THB3" t="s">
        <v>9417</v>
      </c>
      <c r="THC3" t="s">
        <v>9315</v>
      </c>
      <c r="THD3" t="s">
        <v>9418</v>
      </c>
      <c r="THE3" t="s">
        <v>9317</v>
      </c>
      <c r="THF3" t="s">
        <v>9419</v>
      </c>
      <c r="THG3" t="s">
        <v>9315</v>
      </c>
      <c r="THH3" t="s">
        <v>9420</v>
      </c>
      <c r="THI3" t="s">
        <v>9317</v>
      </c>
      <c r="THJ3" t="s">
        <v>9421</v>
      </c>
      <c r="THK3" t="s">
        <v>9351</v>
      </c>
      <c r="THL3" t="s">
        <v>9422</v>
      </c>
      <c r="THM3" t="s">
        <v>9423</v>
      </c>
      <c r="THN3">
        <v>11.29</v>
      </c>
      <c r="THO3">
        <v>0</v>
      </c>
      <c r="THP3">
        <v>0</v>
      </c>
      <c r="THQ3">
        <v>0</v>
      </c>
      <c r="THR3" t="s">
        <v>9424</v>
      </c>
      <c r="THS3" t="s">
        <v>9425</v>
      </c>
      <c r="THT3" t="s">
        <v>9426</v>
      </c>
      <c r="THU3" t="s">
        <v>9427</v>
      </c>
      <c r="THV3" t="s">
        <v>9428</v>
      </c>
      <c r="THW3" t="s">
        <v>9429</v>
      </c>
      <c r="THX3" t="s">
        <v>9430</v>
      </c>
      <c r="THY3" t="s">
        <v>9431</v>
      </c>
      <c r="THZ3">
        <v>7.89</v>
      </c>
      <c r="TIA3">
        <v>0</v>
      </c>
      <c r="TIB3">
        <v>0</v>
      </c>
      <c r="TIC3">
        <v>1</v>
      </c>
      <c r="TID3" t="s">
        <v>9432</v>
      </c>
      <c r="TIE3">
        <v>8</v>
      </c>
      <c r="TIF3" t="s">
        <v>9433</v>
      </c>
      <c r="TIG3" t="s">
        <v>9434</v>
      </c>
      <c r="TIH3">
        <v>6.44</v>
      </c>
      <c r="TII3">
        <v>0</v>
      </c>
      <c r="TIJ3">
        <v>0</v>
      </c>
      <c r="TIK3" s="2">
        <v>45660</v>
      </c>
      <c r="TIL3" t="s">
        <v>9435</v>
      </c>
      <c r="TIM3" t="s">
        <v>9436</v>
      </c>
      <c r="TIN3" t="s">
        <v>9437</v>
      </c>
      <c r="TIO3">
        <v>6.9</v>
      </c>
      <c r="TIP3">
        <v>0</v>
      </c>
      <c r="TIQ3">
        <v>1</v>
      </c>
      <c r="TIR3" t="s">
        <v>9438</v>
      </c>
      <c r="TIS3" t="s">
        <v>9439</v>
      </c>
      <c r="TIT3">
        <v>6.9</v>
      </c>
      <c r="TIU3">
        <v>0</v>
      </c>
      <c r="TIV3">
        <v>0</v>
      </c>
      <c r="TIW3">
        <v>0</v>
      </c>
      <c r="TIX3">
        <v>57.36</v>
      </c>
      <c r="TIY3" t="s">
        <v>9440</v>
      </c>
      <c r="TIZ3" t="s">
        <v>9441</v>
      </c>
      <c r="TJA3">
        <v>2.86</v>
      </c>
      <c r="TJB3">
        <v>0</v>
      </c>
      <c r="TJC3">
        <v>1</v>
      </c>
      <c r="TJD3" t="s">
        <v>9386</v>
      </c>
      <c r="TJE3">
        <v>2.86</v>
      </c>
      <c r="TJF3">
        <v>0</v>
      </c>
      <c r="TJG3">
        <v>0</v>
      </c>
      <c r="TJH3">
        <v>1</v>
      </c>
      <c r="TJI3">
        <v>53.32</v>
      </c>
      <c r="TJJ3" t="s">
        <v>9442</v>
      </c>
      <c r="TJK3" t="s">
        <v>9443</v>
      </c>
      <c r="TJL3">
        <v>49.8</v>
      </c>
      <c r="TJM3">
        <v>30.08</v>
      </c>
      <c r="TJN3" t="s">
        <v>9444</v>
      </c>
      <c r="TJO3" t="s">
        <v>9445</v>
      </c>
      <c r="TJP3">
        <v>29</v>
      </c>
      <c r="TJQ3">
        <v>70</v>
      </c>
      <c r="TJR3">
        <v>15.34</v>
      </c>
      <c r="TJS3">
        <v>61.4</v>
      </c>
      <c r="TJT3">
        <v>23.9</v>
      </c>
      <c r="TJU3">
        <v>75.09</v>
      </c>
      <c r="TJV3" t="s">
        <v>9446</v>
      </c>
      <c r="TJW3" t="s">
        <v>9447</v>
      </c>
      <c r="TJX3" t="s">
        <v>9448</v>
      </c>
      <c r="TJY3" t="s">
        <v>9449</v>
      </c>
      <c r="TJZ3" t="s">
        <v>9450</v>
      </c>
      <c r="TKA3" t="s">
        <v>9396</v>
      </c>
      <c r="TKB3" t="s">
        <v>9451</v>
      </c>
      <c r="TKC3" t="s">
        <v>9452</v>
      </c>
      <c r="TKD3" t="s">
        <v>9453</v>
      </c>
      <c r="TKE3" t="s">
        <v>9454</v>
      </c>
      <c r="TKF3" t="s">
        <v>9455</v>
      </c>
      <c r="TKG3" t="s">
        <v>9456</v>
      </c>
      <c r="TKH3" t="s">
        <v>9457</v>
      </c>
      <c r="TKI3" t="s">
        <v>9458</v>
      </c>
      <c r="TKJ3" t="s">
        <v>9452</v>
      </c>
      <c r="TKK3" t="s">
        <v>9459</v>
      </c>
      <c r="TKL3" t="s">
        <v>9460</v>
      </c>
      <c r="TKM3">
        <v>84.72</v>
      </c>
      <c r="TKN3">
        <v>8</v>
      </c>
      <c r="TKO3">
        <v>69.28</v>
      </c>
      <c r="TKP3">
        <v>8</v>
      </c>
      <c r="TKQ3" t="s">
        <v>9461</v>
      </c>
      <c r="TKR3">
        <v>15.87</v>
      </c>
      <c r="TKS3">
        <v>50</v>
      </c>
      <c r="TKT3">
        <v>15.87</v>
      </c>
      <c r="TKU3">
        <v>92</v>
      </c>
      <c r="TKV3">
        <v>31.31</v>
      </c>
      <c r="TKW3">
        <v>92</v>
      </c>
      <c r="TKX3">
        <v>50.3</v>
      </c>
      <c r="TKY3">
        <v>73.16</v>
      </c>
      <c r="TKZ3">
        <v>84.72</v>
      </c>
      <c r="TLA3">
        <v>50</v>
      </c>
      <c r="TLB3" t="s">
        <v>9462</v>
      </c>
      <c r="TLC3" t="s">
        <v>9463</v>
      </c>
      <c r="TLD3" t="s">
        <v>9464</v>
      </c>
      <c r="TLE3" t="s">
        <v>9465</v>
      </c>
      <c r="TLF3">
        <v>76.459999999999994</v>
      </c>
      <c r="TLG3">
        <v>50</v>
      </c>
      <c r="TLH3">
        <v>76.459999999999994</v>
      </c>
      <c r="TLI3">
        <v>83.74</v>
      </c>
      <c r="TLJ3">
        <v>64.72</v>
      </c>
      <c r="TLK3">
        <v>83.74</v>
      </c>
      <c r="TLL3">
        <v>50.3</v>
      </c>
      <c r="TLM3">
        <v>68.599999999999994</v>
      </c>
      <c r="TLN3">
        <v>24.13</v>
      </c>
      <c r="TLO3">
        <v>50</v>
      </c>
      <c r="TLP3" t="s">
        <v>9466</v>
      </c>
      <c r="TLQ3" t="s">
        <v>9467</v>
      </c>
      <c r="TLR3" t="s">
        <v>9457</v>
      </c>
      <c r="TLS3" t="s">
        <v>9468</v>
      </c>
      <c r="TLT3" t="s">
        <v>9452</v>
      </c>
      <c r="TLU3" t="s">
        <v>9469</v>
      </c>
      <c r="TLV3" t="s">
        <v>9470</v>
      </c>
      <c r="TLW3">
        <v>49.57</v>
      </c>
      <c r="TLX3">
        <v>31.85</v>
      </c>
      <c r="TLY3" t="s">
        <v>9471</v>
      </c>
      <c r="TLZ3">
        <v>8.7200000000000006</v>
      </c>
      <c r="TMA3">
        <v>0</v>
      </c>
      <c r="TMB3">
        <v>0</v>
      </c>
      <c r="TMC3">
        <v>1</v>
      </c>
      <c r="TMD3">
        <v>8.65</v>
      </c>
      <c r="TME3" t="s">
        <v>9472</v>
      </c>
      <c r="TMF3">
        <v>8.7200000000000006</v>
      </c>
      <c r="TMG3">
        <v>0</v>
      </c>
      <c r="TMH3">
        <v>0</v>
      </c>
      <c r="TMI3">
        <v>1</v>
      </c>
      <c r="TMJ3">
        <v>82.77</v>
      </c>
      <c r="TMK3" t="s">
        <v>9473</v>
      </c>
      <c r="TML3" t="s">
        <v>9474</v>
      </c>
      <c r="TMM3">
        <v>0</v>
      </c>
      <c r="TMN3">
        <v>0</v>
      </c>
      <c r="TMO3">
        <v>0</v>
      </c>
      <c r="TMP3" t="s">
        <v>9475</v>
      </c>
      <c r="TMQ3">
        <v>0</v>
      </c>
      <c r="TMR3">
        <v>0</v>
      </c>
      <c r="TMS3" t="s">
        <v>9476</v>
      </c>
      <c r="TMT3" t="s">
        <v>9477</v>
      </c>
      <c r="TMU3">
        <v>24</v>
      </c>
      <c r="TMV3">
        <v>5</v>
      </c>
      <c r="TMW3">
        <v>5</v>
      </c>
      <c r="TMX3" t="s">
        <v>9478</v>
      </c>
      <c r="TMY3" t="s">
        <v>9479</v>
      </c>
      <c r="TMZ3">
        <v>5</v>
      </c>
      <c r="TNA3">
        <v>24</v>
      </c>
      <c r="TNB3">
        <v>24</v>
      </c>
      <c r="TNC3" t="s">
        <v>9480</v>
      </c>
      <c r="TND3" t="s">
        <v>9457</v>
      </c>
      <c r="TNE3" t="s">
        <v>9481</v>
      </c>
      <c r="TNF3" t="s">
        <v>9315</v>
      </c>
      <c r="TNG3" t="s">
        <v>9482</v>
      </c>
      <c r="TNH3" t="s">
        <v>9483</v>
      </c>
      <c r="TNI3" t="s">
        <v>9484</v>
      </c>
      <c r="TNJ3" t="s">
        <v>9485</v>
      </c>
      <c r="TNK3" t="s">
        <v>9486</v>
      </c>
      <c r="TNL3" t="s">
        <v>9487</v>
      </c>
      <c r="TNM3" t="s">
        <v>9488</v>
      </c>
      <c r="TNN3" t="s">
        <v>9489</v>
      </c>
      <c r="TNO3" t="s">
        <v>9490</v>
      </c>
      <c r="TNP3" t="s">
        <v>9491</v>
      </c>
      <c r="TNQ3" t="s">
        <v>9492</v>
      </c>
      <c r="TNR3" t="s">
        <v>9493</v>
      </c>
      <c r="TNS3" t="s">
        <v>9494</v>
      </c>
      <c r="TNT3" t="s">
        <v>9495</v>
      </c>
      <c r="TNU3" t="s">
        <v>9496</v>
      </c>
      <c r="TNV3" t="s">
        <v>9497</v>
      </c>
      <c r="TNW3" t="s">
        <v>9498</v>
      </c>
      <c r="TNX3" t="s">
        <v>9499</v>
      </c>
      <c r="TNY3" t="s">
        <v>9500</v>
      </c>
      <c r="TNZ3" t="s">
        <v>9501</v>
      </c>
      <c r="TOA3" t="s">
        <v>9502</v>
      </c>
      <c r="TOB3" t="s">
        <v>9503</v>
      </c>
      <c r="TOC3" t="s">
        <v>9504</v>
      </c>
      <c r="TOD3" t="s">
        <v>9505</v>
      </c>
      <c r="TOE3" t="s">
        <v>9506</v>
      </c>
      <c r="TOF3" t="s">
        <v>9507</v>
      </c>
      <c r="TOG3" t="s">
        <v>9508</v>
      </c>
      <c r="TOH3" t="s">
        <v>9509</v>
      </c>
      <c r="TOI3" t="s">
        <v>9510</v>
      </c>
      <c r="TOJ3">
        <v>6</v>
      </c>
      <c r="TOK3">
        <v>0</v>
      </c>
      <c r="TOL3">
        <v>0</v>
      </c>
      <c r="TOM3" t="s">
        <v>9511</v>
      </c>
      <c r="TON3" t="s">
        <v>9512</v>
      </c>
      <c r="TOO3">
        <v>6</v>
      </c>
      <c r="TOP3">
        <v>0</v>
      </c>
      <c r="TOQ3">
        <v>0</v>
      </c>
      <c r="TOR3">
        <v>0</v>
      </c>
      <c r="TOS3">
        <v>12</v>
      </c>
      <c r="TOT3" t="s">
        <v>9513</v>
      </c>
      <c r="TOU3">
        <v>6</v>
      </c>
      <c r="TOV3">
        <v>0</v>
      </c>
      <c r="TOW3">
        <v>0</v>
      </c>
      <c r="TOX3">
        <v>0</v>
      </c>
      <c r="TOY3">
        <v>30</v>
      </c>
      <c r="TOZ3" t="s">
        <v>9514</v>
      </c>
      <c r="TPA3" t="s">
        <v>9515</v>
      </c>
      <c r="TPB3" t="s">
        <v>9510</v>
      </c>
      <c r="TPC3">
        <v>6</v>
      </c>
      <c r="TPD3">
        <v>0</v>
      </c>
      <c r="TPE3">
        <v>0</v>
      </c>
      <c r="TPF3" t="s">
        <v>9511</v>
      </c>
      <c r="TPG3" t="s">
        <v>9512</v>
      </c>
      <c r="TPH3">
        <v>6</v>
      </c>
      <c r="TPI3">
        <v>0</v>
      </c>
      <c r="TPJ3">
        <v>0</v>
      </c>
      <c r="TPK3">
        <v>0</v>
      </c>
      <c r="TPL3">
        <v>12</v>
      </c>
      <c r="TPM3" t="s">
        <v>9513</v>
      </c>
      <c r="TPN3">
        <v>6</v>
      </c>
      <c r="TPO3">
        <v>0</v>
      </c>
      <c r="TPP3">
        <v>0</v>
      </c>
      <c r="TPQ3">
        <v>0</v>
      </c>
      <c r="TPR3">
        <v>78</v>
      </c>
      <c r="TPS3" t="s">
        <v>9514</v>
      </c>
      <c r="TPT3" t="s">
        <v>9516</v>
      </c>
      <c r="TPU3" t="s">
        <v>9517</v>
      </c>
      <c r="TPV3">
        <v>6</v>
      </c>
      <c r="TPW3">
        <v>0</v>
      </c>
      <c r="TPX3">
        <v>0</v>
      </c>
      <c r="TPY3" t="s">
        <v>9511</v>
      </c>
      <c r="TPZ3" t="s">
        <v>9518</v>
      </c>
      <c r="TQA3">
        <v>6</v>
      </c>
      <c r="TQB3">
        <v>0</v>
      </c>
      <c r="TQC3">
        <v>0</v>
      </c>
      <c r="TQD3">
        <v>0</v>
      </c>
      <c r="TQE3">
        <v>12</v>
      </c>
      <c r="TQF3" t="s">
        <v>9519</v>
      </c>
      <c r="TQG3">
        <v>6</v>
      </c>
      <c r="TQH3">
        <v>0</v>
      </c>
      <c r="TQI3">
        <v>0</v>
      </c>
      <c r="TQJ3">
        <v>0</v>
      </c>
      <c r="TQK3">
        <v>54</v>
      </c>
      <c r="TQL3" t="s">
        <v>9520</v>
      </c>
      <c r="TQM3" t="s">
        <v>9521</v>
      </c>
      <c r="TQN3" t="s">
        <v>9517</v>
      </c>
      <c r="TQO3">
        <v>6</v>
      </c>
      <c r="TQP3">
        <v>0</v>
      </c>
      <c r="TQQ3">
        <v>0</v>
      </c>
      <c r="TQR3" t="s">
        <v>9511</v>
      </c>
      <c r="TQS3" t="s">
        <v>9518</v>
      </c>
      <c r="TQT3">
        <v>6</v>
      </c>
      <c r="TQU3">
        <v>0</v>
      </c>
      <c r="TQV3">
        <v>0</v>
      </c>
      <c r="TQW3">
        <v>0</v>
      </c>
      <c r="TQX3">
        <v>12</v>
      </c>
      <c r="TQY3" t="s">
        <v>9519</v>
      </c>
      <c r="TQZ3">
        <v>6</v>
      </c>
      <c r="TRA3">
        <v>0</v>
      </c>
      <c r="TRB3">
        <v>0</v>
      </c>
      <c r="TRC3">
        <v>0</v>
      </c>
      <c r="TRD3">
        <v>102</v>
      </c>
      <c r="TRE3" t="s">
        <v>9520</v>
      </c>
      <c r="TRF3" t="s">
        <v>9522</v>
      </c>
      <c r="TRG3" t="s">
        <v>9523</v>
      </c>
      <c r="TRH3" t="s">
        <v>9524</v>
      </c>
      <c r="TRI3" t="s">
        <v>9525</v>
      </c>
      <c r="TRJ3" t="s">
        <v>9526</v>
      </c>
      <c r="TRK3" t="s">
        <v>9527</v>
      </c>
      <c r="TRL3" t="s">
        <v>9528</v>
      </c>
      <c r="TRM3" t="s">
        <v>9529</v>
      </c>
      <c r="TRN3" t="s">
        <v>9530</v>
      </c>
      <c r="TRO3" t="s">
        <v>9531</v>
      </c>
      <c r="TRP3" t="s">
        <v>44</v>
      </c>
      <c r="TRQ3" t="s">
        <v>9532</v>
      </c>
      <c r="TRR3" t="s">
        <v>9533</v>
      </c>
      <c r="TRS3" t="s">
        <v>9534</v>
      </c>
      <c r="TRT3" t="s">
        <v>9535</v>
      </c>
      <c r="TRU3" t="s">
        <v>9536</v>
      </c>
      <c r="TRV3" t="s">
        <v>9537</v>
      </c>
      <c r="TRW3" t="s">
        <v>9538</v>
      </c>
      <c r="TRX3" t="s">
        <v>9539</v>
      </c>
      <c r="TRY3" t="s">
        <v>9540</v>
      </c>
      <c r="TRZ3" t="s">
        <v>9541</v>
      </c>
      <c r="TSA3" t="s">
        <v>9542</v>
      </c>
      <c r="TSB3" t="s">
        <v>9543</v>
      </c>
      <c r="TSC3" t="s">
        <v>9544</v>
      </c>
      <c r="TSD3" t="s">
        <v>9545</v>
      </c>
      <c r="TSE3" t="s">
        <v>1470</v>
      </c>
      <c r="TSF3" t="s">
        <v>9546</v>
      </c>
      <c r="TSG3" t="s">
        <v>44</v>
      </c>
      <c r="TSH3" t="s">
        <v>125</v>
      </c>
      <c r="TSI3" t="s">
        <v>126</v>
      </c>
      <c r="TSJ3" t="s">
        <v>46</v>
      </c>
      <c r="TSK3" t="s">
        <v>47</v>
      </c>
      <c r="TSL3" t="s">
        <v>9547</v>
      </c>
      <c r="TSM3" t="s">
        <v>9548</v>
      </c>
      <c r="TSN3" t="s">
        <v>896</v>
      </c>
      <c r="TSO3" t="s">
        <v>310</v>
      </c>
      <c r="TSP3" t="s">
        <v>1308</v>
      </c>
      <c r="TSQ3" t="s">
        <v>1309</v>
      </c>
      <c r="TSR3" t="s">
        <v>9549</v>
      </c>
      <c r="TSS3" t="s">
        <v>9550</v>
      </c>
      <c r="TST3" t="s">
        <v>9551</v>
      </c>
      <c r="TSU3" t="s">
        <v>9552</v>
      </c>
      <c r="TSV3" t="s">
        <v>9553</v>
      </c>
      <c r="TSW3" t="s">
        <v>9554</v>
      </c>
      <c r="TSX3" t="s">
        <v>9555</v>
      </c>
      <c r="TSY3" t="s">
        <v>9556</v>
      </c>
      <c r="TSZ3" t="s">
        <v>9557</v>
      </c>
      <c r="TTA3" t="s">
        <v>9558</v>
      </c>
      <c r="TTB3" t="s">
        <v>9559</v>
      </c>
      <c r="TTC3" t="s">
        <v>9560</v>
      </c>
      <c r="TTD3" t="s">
        <v>44</v>
      </c>
      <c r="TTE3" t="s">
        <v>9561</v>
      </c>
      <c r="TTF3" t="s">
        <v>9562</v>
      </c>
      <c r="TTG3" t="s">
        <v>1691</v>
      </c>
      <c r="TTH3" t="s">
        <v>9563</v>
      </c>
      <c r="TTI3" t="s">
        <v>9564</v>
      </c>
      <c r="TTJ3" t="s">
        <v>9565</v>
      </c>
      <c r="TTK3" t="s">
        <v>896</v>
      </c>
      <c r="TTL3" t="s">
        <v>9566</v>
      </c>
      <c r="TTM3" t="s">
        <v>310</v>
      </c>
      <c r="TTN3" t="s">
        <v>9567</v>
      </c>
      <c r="TTO3" t="s">
        <v>9568</v>
      </c>
      <c r="TTP3" t="s">
        <v>896</v>
      </c>
      <c r="TTQ3" t="s">
        <v>9569</v>
      </c>
      <c r="TTR3" t="s">
        <v>310</v>
      </c>
      <c r="TTS3" t="s">
        <v>9570</v>
      </c>
      <c r="TTT3" t="s">
        <v>9565</v>
      </c>
      <c r="TTU3" t="s">
        <v>896</v>
      </c>
      <c r="TTV3" t="s">
        <v>9571</v>
      </c>
      <c r="TTW3" t="s">
        <v>310</v>
      </c>
      <c r="TTX3" t="s">
        <v>9572</v>
      </c>
      <c r="TTY3" t="s">
        <v>9565</v>
      </c>
      <c r="TTZ3" t="s">
        <v>310</v>
      </c>
      <c r="TUA3" t="s">
        <v>4509</v>
      </c>
      <c r="TUB3" t="s">
        <v>9573</v>
      </c>
      <c r="TUC3" t="s">
        <v>9574</v>
      </c>
      <c r="TUD3" t="s">
        <v>9575</v>
      </c>
      <c r="TUE3" t="s">
        <v>9565</v>
      </c>
      <c r="TUF3" t="s">
        <v>310</v>
      </c>
      <c r="TUG3" t="s">
        <v>9576</v>
      </c>
      <c r="TUH3" t="s">
        <v>9577</v>
      </c>
      <c r="TUI3" t="s">
        <v>254</v>
      </c>
      <c r="TUJ3" t="s">
        <v>9578</v>
      </c>
      <c r="TUK3" t="s">
        <v>9579</v>
      </c>
      <c r="TUL3" t="s">
        <v>9580</v>
      </c>
      <c r="TUM3" t="s">
        <v>9581</v>
      </c>
      <c r="TUN3" t="s">
        <v>9582</v>
      </c>
      <c r="TUO3" t="s">
        <v>9583</v>
      </c>
      <c r="TUP3" t="s">
        <v>8109</v>
      </c>
      <c r="TUQ3" t="s">
        <v>9584</v>
      </c>
      <c r="TUR3" t="s">
        <v>9585</v>
      </c>
      <c r="TUS3" t="s">
        <v>9586</v>
      </c>
      <c r="TUT3" t="s">
        <v>44</v>
      </c>
      <c r="TUU3" t="s">
        <v>125</v>
      </c>
      <c r="TUV3" t="s">
        <v>9587</v>
      </c>
      <c r="TUW3" t="s">
        <v>9588</v>
      </c>
      <c r="TUX3" t="s">
        <v>9589</v>
      </c>
      <c r="TUY3" t="s">
        <v>9590</v>
      </c>
      <c r="TUZ3" t="s">
        <v>9591</v>
      </c>
      <c r="TVA3" t="s">
        <v>2088</v>
      </c>
      <c r="TVB3" t="s">
        <v>9592</v>
      </c>
      <c r="TVC3" t="s">
        <v>44</v>
      </c>
      <c r="TVD3" t="s">
        <v>125</v>
      </c>
      <c r="TVE3" t="s">
        <v>126</v>
      </c>
      <c r="TVF3" t="s">
        <v>9593</v>
      </c>
      <c r="TVG3" t="s">
        <v>255</v>
      </c>
      <c r="TVH3" t="s">
        <v>44</v>
      </c>
      <c r="TVI3" t="s">
        <v>125</v>
      </c>
      <c r="TVJ3" t="s">
        <v>126</v>
      </c>
      <c r="TVK3" t="s">
        <v>46</v>
      </c>
      <c r="TVL3" t="s">
        <v>9594</v>
      </c>
      <c r="TVM3" t="s">
        <v>9595</v>
      </c>
      <c r="TVN3" t="s">
        <v>44</v>
      </c>
      <c r="TVO3" t="s">
        <v>125</v>
      </c>
      <c r="TVP3" t="s">
        <v>126</v>
      </c>
      <c r="TVQ3" t="s">
        <v>9593</v>
      </c>
      <c r="TVR3" t="s">
        <v>255</v>
      </c>
      <c r="TVS3" t="s">
        <v>44</v>
      </c>
      <c r="TVT3" t="s">
        <v>125</v>
      </c>
      <c r="TVU3" t="s">
        <v>126</v>
      </c>
      <c r="TVV3" t="s">
        <v>46</v>
      </c>
      <c r="TVW3" t="s">
        <v>9596</v>
      </c>
      <c r="TVX3" t="s">
        <v>9597</v>
      </c>
      <c r="TVY3" t="s">
        <v>44</v>
      </c>
      <c r="TVZ3" t="s">
        <v>125</v>
      </c>
      <c r="TWA3" t="s">
        <v>126</v>
      </c>
      <c r="TWB3" t="s">
        <v>46</v>
      </c>
      <c r="TWC3" t="s">
        <v>9598</v>
      </c>
      <c r="TWD3" t="s">
        <v>44</v>
      </c>
      <c r="TWE3" t="s">
        <v>125</v>
      </c>
      <c r="TWF3" t="s">
        <v>126</v>
      </c>
      <c r="TWG3" t="s">
        <v>46</v>
      </c>
      <c r="TWH3" t="s">
        <v>47</v>
      </c>
      <c r="TWI3" t="s">
        <v>9599</v>
      </c>
      <c r="TWJ3" t="s">
        <v>9600</v>
      </c>
      <c r="TWK3" t="s">
        <v>44</v>
      </c>
      <c r="TWL3" t="s">
        <v>9601</v>
      </c>
      <c r="TWM3" t="s">
        <v>9602</v>
      </c>
      <c r="TWN3" t="s">
        <v>9603</v>
      </c>
      <c r="TWO3" t="s">
        <v>9604</v>
      </c>
      <c r="TWP3" t="s">
        <v>9605</v>
      </c>
      <c r="TWQ3" t="s">
        <v>9606</v>
      </c>
      <c r="TWR3" t="s">
        <v>9607</v>
      </c>
      <c r="TWS3" t="s">
        <v>9608</v>
      </c>
      <c r="TWT3" t="s">
        <v>9609</v>
      </c>
      <c r="TWU3" t="s">
        <v>9610</v>
      </c>
      <c r="TWV3" t="s">
        <v>9611</v>
      </c>
      <c r="TWW3" t="s">
        <v>9612</v>
      </c>
      <c r="TWX3" t="s">
        <v>9613</v>
      </c>
      <c r="TWY3" t="s">
        <v>9614</v>
      </c>
      <c r="TWZ3" t="s">
        <v>9615</v>
      </c>
      <c r="TXA3" t="s">
        <v>9616</v>
      </c>
      <c r="TXB3" t="s">
        <v>9617</v>
      </c>
      <c r="TXC3" t="s">
        <v>9618</v>
      </c>
      <c r="TXD3" t="s">
        <v>9619</v>
      </c>
      <c r="TXE3" t="s">
        <v>44</v>
      </c>
      <c r="TXF3" t="s">
        <v>9620</v>
      </c>
      <c r="TXG3" t="s">
        <v>9621</v>
      </c>
      <c r="TXH3" t="s">
        <v>9622</v>
      </c>
      <c r="TXI3" t="s">
        <v>9623</v>
      </c>
      <c r="TXJ3" t="s">
        <v>9624</v>
      </c>
      <c r="TXK3" t="s">
        <v>9625</v>
      </c>
      <c r="TXL3" t="s">
        <v>9626</v>
      </c>
      <c r="TXM3" t="s">
        <v>9627</v>
      </c>
      <c r="TXN3" t="s">
        <v>9628</v>
      </c>
      <c r="TXO3" t="s">
        <v>9629</v>
      </c>
      <c r="TXP3" t="s">
        <v>9630</v>
      </c>
      <c r="TXQ3" t="s">
        <v>9631</v>
      </c>
      <c r="TXR3" t="s">
        <v>9632</v>
      </c>
      <c r="TXS3" t="s">
        <v>9633</v>
      </c>
      <c r="TXT3" t="s">
        <v>9634</v>
      </c>
      <c r="TXU3" t="s">
        <v>9635</v>
      </c>
      <c r="TXV3" t="s">
        <v>9636</v>
      </c>
      <c r="TXW3" t="s">
        <v>9637</v>
      </c>
      <c r="TXX3" t="s">
        <v>9638</v>
      </c>
      <c r="TXY3" t="s">
        <v>9639</v>
      </c>
      <c r="TXZ3" t="s">
        <v>310</v>
      </c>
      <c r="TYA3" t="s">
        <v>9640</v>
      </c>
      <c r="TYB3" t="s">
        <v>9641</v>
      </c>
      <c r="TYC3" t="s">
        <v>9642</v>
      </c>
      <c r="TYD3" t="s">
        <v>9643</v>
      </c>
      <c r="TYE3" t="s">
        <v>9644</v>
      </c>
      <c r="TYF3" t="s">
        <v>1511</v>
      </c>
      <c r="TYG3" t="s">
        <v>863</v>
      </c>
      <c r="TYH3" t="s">
        <v>9645</v>
      </c>
      <c r="TYI3" t="s">
        <v>9646</v>
      </c>
      <c r="TYJ3" t="s">
        <v>9647</v>
      </c>
      <c r="TYK3" t="s">
        <v>1511</v>
      </c>
      <c r="TYL3" t="s">
        <v>863</v>
      </c>
      <c r="TYM3" t="s">
        <v>9648</v>
      </c>
      <c r="TYN3" t="s">
        <v>9649</v>
      </c>
      <c r="TYO3" t="s">
        <v>9650</v>
      </c>
      <c r="TYP3" t="s">
        <v>9651</v>
      </c>
      <c r="TYQ3" t="s">
        <v>9652</v>
      </c>
      <c r="TYR3" t="s">
        <v>1841</v>
      </c>
      <c r="TYS3" t="s">
        <v>9653</v>
      </c>
      <c r="TYT3" t="s">
        <v>9654</v>
      </c>
      <c r="TYU3" t="s">
        <v>44</v>
      </c>
      <c r="TYV3" t="s">
        <v>125</v>
      </c>
      <c r="TYW3" t="s">
        <v>126</v>
      </c>
      <c r="TYX3" t="s">
        <v>46</v>
      </c>
      <c r="TYY3" t="s">
        <v>1503</v>
      </c>
      <c r="TYZ3" t="s">
        <v>511</v>
      </c>
      <c r="TZA3" t="s">
        <v>48</v>
      </c>
      <c r="TZB3" t="s">
        <v>4050</v>
      </c>
      <c r="TZC3" t="s">
        <v>9655</v>
      </c>
      <c r="TZD3" t="s">
        <v>9656</v>
      </c>
      <c r="TZE3" t="s">
        <v>9657</v>
      </c>
      <c r="TZF3" t="s">
        <v>9658</v>
      </c>
      <c r="TZG3" t="s">
        <v>9659</v>
      </c>
      <c r="TZH3" t="s">
        <v>9660</v>
      </c>
      <c r="TZI3" t="s">
        <v>9661</v>
      </c>
      <c r="TZJ3" t="s">
        <v>9662</v>
      </c>
      <c r="TZK3" t="s">
        <v>9663</v>
      </c>
      <c r="TZL3" t="s">
        <v>1475</v>
      </c>
      <c r="TZM3" t="s">
        <v>9664</v>
      </c>
      <c r="TZN3" t="s">
        <v>9665</v>
      </c>
      <c r="TZO3" t="s">
        <v>9666</v>
      </c>
      <c r="TZP3" t="s">
        <v>9667</v>
      </c>
      <c r="TZQ3" t="s">
        <v>9668</v>
      </c>
      <c r="TZR3" t="s">
        <v>9594</v>
      </c>
      <c r="TZS3" t="s">
        <v>9669</v>
      </c>
      <c r="TZT3" t="s">
        <v>9670</v>
      </c>
      <c r="TZU3" t="s">
        <v>9671</v>
      </c>
      <c r="TZV3" t="s">
        <v>9672</v>
      </c>
      <c r="TZW3" t="s">
        <v>44</v>
      </c>
      <c r="TZX3" t="s">
        <v>835</v>
      </c>
      <c r="TZY3" t="s">
        <v>9673</v>
      </c>
      <c r="TZZ3" t="s">
        <v>9674</v>
      </c>
      <c r="UAA3" t="s">
        <v>9675</v>
      </c>
      <c r="UAB3" t="s">
        <v>9676</v>
      </c>
      <c r="UAC3" t="s">
        <v>9677</v>
      </c>
      <c r="UAD3" t="s">
        <v>1636</v>
      </c>
      <c r="UAE3" t="s">
        <v>9678</v>
      </c>
      <c r="UAF3" t="s">
        <v>9679</v>
      </c>
      <c r="UAG3" t="s">
        <v>9680</v>
      </c>
      <c r="UAH3" t="s">
        <v>9681</v>
      </c>
      <c r="UAI3" t="s">
        <v>9682</v>
      </c>
      <c r="UAJ3" t="s">
        <v>9683</v>
      </c>
      <c r="UAK3" t="s">
        <v>9684</v>
      </c>
      <c r="UAL3" t="s">
        <v>44</v>
      </c>
      <c r="UAM3" t="s">
        <v>835</v>
      </c>
      <c r="UAN3" t="s">
        <v>334</v>
      </c>
      <c r="UAO3" t="s">
        <v>132</v>
      </c>
      <c r="UAP3" t="s">
        <v>4184</v>
      </c>
      <c r="UAQ3" t="s">
        <v>9685</v>
      </c>
      <c r="UAR3" t="s">
        <v>4830</v>
      </c>
      <c r="UAS3" t="s">
        <v>9686</v>
      </c>
      <c r="UAT3" t="s">
        <v>9687</v>
      </c>
      <c r="UAU3" t="s">
        <v>9688</v>
      </c>
      <c r="UAV3" t="s">
        <v>9689</v>
      </c>
      <c r="UAW3" t="s">
        <v>9690</v>
      </c>
      <c r="UAX3" t="s">
        <v>9691</v>
      </c>
      <c r="UAY3" t="s">
        <v>9692</v>
      </c>
      <c r="UAZ3" t="s">
        <v>9693</v>
      </c>
      <c r="UBA3" t="s">
        <v>9694</v>
      </c>
      <c r="UBB3" t="s">
        <v>6546</v>
      </c>
      <c r="UBC3" t="s">
        <v>9695</v>
      </c>
      <c r="UBD3" t="s">
        <v>1503</v>
      </c>
      <c r="UBE3" t="s">
        <v>46</v>
      </c>
      <c r="UBF3" t="s">
        <v>1336</v>
      </c>
      <c r="UBG3" t="s">
        <v>9696</v>
      </c>
      <c r="UBH3" t="s">
        <v>44</v>
      </c>
      <c r="UBI3" t="s">
        <v>9697</v>
      </c>
      <c r="UBJ3" t="s">
        <v>9698</v>
      </c>
      <c r="UBK3" t="s">
        <v>44</v>
      </c>
      <c r="UBL3" t="s">
        <v>125</v>
      </c>
      <c r="UBM3" t="s">
        <v>9699</v>
      </c>
      <c r="UBN3" t="s">
        <v>9700</v>
      </c>
      <c r="UBO3" t="s">
        <v>9701</v>
      </c>
      <c r="UBP3" t="s">
        <v>9702</v>
      </c>
      <c r="UBQ3" t="s">
        <v>9703</v>
      </c>
      <c r="UBR3" t="s">
        <v>9704</v>
      </c>
      <c r="UBS3" t="s">
        <v>9705</v>
      </c>
      <c r="UBT3" t="s">
        <v>44</v>
      </c>
      <c r="UBU3" t="s">
        <v>9706</v>
      </c>
      <c r="UBV3" t="s">
        <v>9707</v>
      </c>
      <c r="UBW3" t="s">
        <v>44</v>
      </c>
      <c r="UBX3" t="s">
        <v>125</v>
      </c>
      <c r="UBY3" t="s">
        <v>9708</v>
      </c>
      <c r="UBZ3" t="s">
        <v>9709</v>
      </c>
      <c r="UCA3" t="s">
        <v>9710</v>
      </c>
      <c r="UCB3" t="s">
        <v>44</v>
      </c>
      <c r="UCC3" t="s">
        <v>125</v>
      </c>
      <c r="UCD3" t="s">
        <v>9711</v>
      </c>
      <c r="UCE3" t="s">
        <v>9712</v>
      </c>
      <c r="UCF3" t="s">
        <v>9713</v>
      </c>
      <c r="UCG3" t="s">
        <v>44</v>
      </c>
      <c r="UCH3" t="s">
        <v>125</v>
      </c>
      <c r="UCI3" t="s">
        <v>9714</v>
      </c>
      <c r="UCJ3" t="s">
        <v>9715</v>
      </c>
      <c r="UCK3" t="s">
        <v>44</v>
      </c>
      <c r="UCL3" t="s">
        <v>9716</v>
      </c>
      <c r="UCM3" t="s">
        <v>9717</v>
      </c>
      <c r="UCN3" t="s">
        <v>9718</v>
      </c>
      <c r="UCO3" t="s">
        <v>44</v>
      </c>
      <c r="UCP3" t="s">
        <v>9719</v>
      </c>
      <c r="UCQ3" t="s">
        <v>9720</v>
      </c>
      <c r="UCR3" t="s">
        <v>44</v>
      </c>
      <c r="UCS3" t="s">
        <v>9721</v>
      </c>
      <c r="UCT3" t="s">
        <v>9722</v>
      </c>
      <c r="UCU3" t="s">
        <v>9723</v>
      </c>
      <c r="UCV3" t="s">
        <v>44</v>
      </c>
      <c r="UCW3" t="s">
        <v>9716</v>
      </c>
      <c r="UCX3" t="s">
        <v>9724</v>
      </c>
      <c r="UCY3" t="s">
        <v>9725</v>
      </c>
      <c r="UCZ3" t="s">
        <v>9726</v>
      </c>
      <c r="UDA3" t="s">
        <v>44</v>
      </c>
      <c r="UDB3" t="s">
        <v>125</v>
      </c>
      <c r="UDC3" t="s">
        <v>9727</v>
      </c>
      <c r="UDD3" t="s">
        <v>9701</v>
      </c>
      <c r="UDE3" t="s">
        <v>9728</v>
      </c>
      <c r="UDF3" t="s">
        <v>9729</v>
      </c>
      <c r="UDG3" t="s">
        <v>44</v>
      </c>
      <c r="UDH3" t="s">
        <v>125</v>
      </c>
      <c r="UDI3" t="s">
        <v>9730</v>
      </c>
      <c r="UDJ3" t="s">
        <v>9731</v>
      </c>
      <c r="UDK3" t="s">
        <v>9732</v>
      </c>
      <c r="UDL3" t="s">
        <v>9733</v>
      </c>
      <c r="UDM3" t="s">
        <v>44</v>
      </c>
      <c r="UDN3" t="s">
        <v>9734</v>
      </c>
      <c r="UDO3" t="s">
        <v>9735</v>
      </c>
      <c r="UDP3" t="s">
        <v>125</v>
      </c>
      <c r="UDQ3" t="s">
        <v>126</v>
      </c>
      <c r="UDR3" t="s">
        <v>9736</v>
      </c>
      <c r="UDS3" t="s">
        <v>125</v>
      </c>
      <c r="UDT3" t="s">
        <v>3041</v>
      </c>
      <c r="UDU3" t="s">
        <v>9737</v>
      </c>
      <c r="UDV3" t="s">
        <v>9738</v>
      </c>
      <c r="UDW3" t="s">
        <v>47</v>
      </c>
      <c r="UDX3" t="s">
        <v>126</v>
      </c>
      <c r="UDY3" t="s">
        <v>1336</v>
      </c>
      <c r="UDZ3" t="s">
        <v>9739</v>
      </c>
      <c r="UEA3" t="s">
        <v>9740</v>
      </c>
      <c r="UEB3" t="s">
        <v>511</v>
      </c>
      <c r="UEC3" t="s">
        <v>48</v>
      </c>
      <c r="UED3" t="s">
        <v>49</v>
      </c>
      <c r="UEE3" t="s">
        <v>254</v>
      </c>
      <c r="UEF3" t="s">
        <v>896</v>
      </c>
      <c r="UEG3" t="s">
        <v>9741</v>
      </c>
      <c r="UEH3" t="s">
        <v>9742</v>
      </c>
      <c r="UEI3" t="s">
        <v>9743</v>
      </c>
      <c r="UEJ3" t="s">
        <v>9744</v>
      </c>
      <c r="UEK3" t="s">
        <v>9745</v>
      </c>
      <c r="UEL3" t="s">
        <v>9746</v>
      </c>
      <c r="UEM3" t="s">
        <v>9747</v>
      </c>
      <c r="UEN3" t="s">
        <v>9748</v>
      </c>
      <c r="UEO3" t="s">
        <v>9749</v>
      </c>
      <c r="UEP3" t="s">
        <v>9750</v>
      </c>
      <c r="UEQ3" t="s">
        <v>9751</v>
      </c>
      <c r="UER3" t="s">
        <v>9752</v>
      </c>
      <c r="UES3" t="s">
        <v>49</v>
      </c>
      <c r="UET3" t="s">
        <v>9753</v>
      </c>
      <c r="UEU3" t="s">
        <v>9754</v>
      </c>
      <c r="UEV3" t="s">
        <v>9755</v>
      </c>
      <c r="UEW3" t="s">
        <v>9701</v>
      </c>
      <c r="UEX3" t="s">
        <v>9756</v>
      </c>
      <c r="UEY3" t="s">
        <v>9757</v>
      </c>
      <c r="UEZ3" t="s">
        <v>9758</v>
      </c>
      <c r="UFA3" t="s">
        <v>9759</v>
      </c>
      <c r="UFB3" t="s">
        <v>9760</v>
      </c>
      <c r="UFC3" t="s">
        <v>9761</v>
      </c>
      <c r="UFD3" t="s">
        <v>125</v>
      </c>
      <c r="UFE3" t="s">
        <v>126</v>
      </c>
      <c r="UFF3" t="s">
        <v>46</v>
      </c>
      <c r="UFG3" t="s">
        <v>9762</v>
      </c>
      <c r="UFH3" t="s">
        <v>9763</v>
      </c>
      <c r="UFI3" t="s">
        <v>9764</v>
      </c>
      <c r="UFJ3" t="s">
        <v>1475</v>
      </c>
      <c r="UFK3" t="s">
        <v>9765</v>
      </c>
      <c r="UFL3" t="s">
        <v>1475</v>
      </c>
      <c r="UFM3" t="s">
        <v>9766</v>
      </c>
      <c r="UFN3" t="s">
        <v>9767</v>
      </c>
      <c r="UFO3" t="s">
        <v>9763</v>
      </c>
      <c r="UFP3" t="s">
        <v>9768</v>
      </c>
      <c r="UFQ3" t="s">
        <v>9769</v>
      </c>
      <c r="UFR3" t="s">
        <v>9770</v>
      </c>
      <c r="UFS3" t="s">
        <v>9771</v>
      </c>
      <c r="UFT3" t="s">
        <v>9772</v>
      </c>
      <c r="UFU3" t="s">
        <v>9773</v>
      </c>
      <c r="UFV3" t="s">
        <v>48</v>
      </c>
      <c r="UFW3" t="s">
        <v>47</v>
      </c>
      <c r="UFX3" t="s">
        <v>9774</v>
      </c>
      <c r="UFY3" t="s">
        <v>9775</v>
      </c>
      <c r="UFZ3" t="s">
        <v>9763</v>
      </c>
      <c r="UGA3" t="s">
        <v>48</v>
      </c>
      <c r="UGB3" t="s">
        <v>47</v>
      </c>
      <c r="UGC3" t="s">
        <v>3919</v>
      </c>
      <c r="UGD3" t="s">
        <v>9776</v>
      </c>
      <c r="UGE3" t="s">
        <v>9777</v>
      </c>
      <c r="UGF3" t="s">
        <v>9778</v>
      </c>
      <c r="UGG3" t="s">
        <v>125</v>
      </c>
      <c r="UGH3" t="s">
        <v>126</v>
      </c>
      <c r="UGI3" t="s">
        <v>46</v>
      </c>
      <c r="UGJ3" t="s">
        <v>9779</v>
      </c>
      <c r="UGK3" t="s">
        <v>1475</v>
      </c>
      <c r="UGL3" t="s">
        <v>9780</v>
      </c>
      <c r="UGM3" t="s">
        <v>125</v>
      </c>
      <c r="UGN3" t="s">
        <v>126</v>
      </c>
      <c r="UGO3" t="s">
        <v>46</v>
      </c>
      <c r="UGP3" t="s">
        <v>9781</v>
      </c>
      <c r="UGQ3" t="s">
        <v>9782</v>
      </c>
      <c r="UGR3" t="s">
        <v>44</v>
      </c>
      <c r="UGS3" t="s">
        <v>125</v>
      </c>
      <c r="UGT3" t="s">
        <v>9783</v>
      </c>
      <c r="UGU3" t="s">
        <v>9784</v>
      </c>
      <c r="UGV3" t="s">
        <v>9785</v>
      </c>
      <c r="UGW3" t="s">
        <v>9786</v>
      </c>
      <c r="UGX3" t="s">
        <v>9787</v>
      </c>
      <c r="UGY3" t="s">
        <v>9788</v>
      </c>
      <c r="UGZ3" t="s">
        <v>9789</v>
      </c>
      <c r="UHA3" t="s">
        <v>9790</v>
      </c>
      <c r="UHB3" t="s">
        <v>2653</v>
      </c>
      <c r="UHC3" t="s">
        <v>9791</v>
      </c>
      <c r="UHD3" t="s">
        <v>9792</v>
      </c>
      <c r="UHE3" t="s">
        <v>9793</v>
      </c>
      <c r="UHF3" t="s">
        <v>9794</v>
      </c>
      <c r="UHG3" t="s">
        <v>9795</v>
      </c>
      <c r="UHH3" t="s">
        <v>9796</v>
      </c>
      <c r="UHI3" t="s">
        <v>9797</v>
      </c>
      <c r="UHJ3" t="s">
        <v>9798</v>
      </c>
      <c r="UHK3" t="s">
        <v>9799</v>
      </c>
      <c r="UHL3" t="s">
        <v>9800</v>
      </c>
      <c r="UHM3" t="s">
        <v>9801</v>
      </c>
      <c r="UHN3" t="s">
        <v>9802</v>
      </c>
      <c r="UHO3" t="s">
        <v>9803</v>
      </c>
      <c r="UHP3" t="s">
        <v>44</v>
      </c>
      <c r="UHQ3" t="s">
        <v>125</v>
      </c>
      <c r="UHR3" t="s">
        <v>9804</v>
      </c>
      <c r="UHS3" t="s">
        <v>9805</v>
      </c>
      <c r="UHT3" t="s">
        <v>9806</v>
      </c>
      <c r="UHU3" t="s">
        <v>9807</v>
      </c>
      <c r="UHV3" t="s">
        <v>9808</v>
      </c>
      <c r="UHW3" t="s">
        <v>9809</v>
      </c>
      <c r="UHX3" t="s">
        <v>125</v>
      </c>
      <c r="UHY3" t="s">
        <v>3041</v>
      </c>
      <c r="UHZ3" t="s">
        <v>9810</v>
      </c>
      <c r="UIA3" t="s">
        <v>9811</v>
      </c>
      <c r="UIB3" t="s">
        <v>9812</v>
      </c>
      <c r="UIC3" t="s">
        <v>2612</v>
      </c>
      <c r="UID3" t="s">
        <v>9813</v>
      </c>
      <c r="UIE3" t="s">
        <v>125</v>
      </c>
      <c r="UIF3" t="s">
        <v>511</v>
      </c>
      <c r="UIG3" t="s">
        <v>3763</v>
      </c>
      <c r="UIH3" t="s">
        <v>1537</v>
      </c>
      <c r="UII3" t="s">
        <v>9814</v>
      </c>
      <c r="UIJ3" t="s">
        <v>9815</v>
      </c>
      <c r="UIK3" t="s">
        <v>126</v>
      </c>
      <c r="UIL3" t="s">
        <v>9816</v>
      </c>
      <c r="UIM3" t="s">
        <v>9817</v>
      </c>
      <c r="UIN3" t="s">
        <v>9818</v>
      </c>
      <c r="UIO3" t="s">
        <v>1336</v>
      </c>
      <c r="UIP3" t="s">
        <v>9819</v>
      </c>
      <c r="UIQ3" t="s">
        <v>9820</v>
      </c>
      <c r="UIR3" t="s">
        <v>9821</v>
      </c>
      <c r="UIS3" t="s">
        <v>9822</v>
      </c>
      <c r="UIT3" t="s">
        <v>44</v>
      </c>
      <c r="UIU3" t="s">
        <v>2174</v>
      </c>
      <c r="UIV3" t="s">
        <v>46</v>
      </c>
      <c r="UIW3" t="s">
        <v>9823</v>
      </c>
      <c r="UIX3" t="s">
        <v>1447</v>
      </c>
      <c r="UIY3" t="s">
        <v>9824</v>
      </c>
      <c r="UIZ3" t="s">
        <v>9825</v>
      </c>
      <c r="UJA3" t="s">
        <v>9826</v>
      </c>
      <c r="UJB3" t="s">
        <v>9827</v>
      </c>
      <c r="UJC3" t="s">
        <v>9828</v>
      </c>
      <c r="UJD3" t="s">
        <v>9829</v>
      </c>
      <c r="UJE3" t="s">
        <v>9830</v>
      </c>
      <c r="UJF3" t="s">
        <v>9831</v>
      </c>
      <c r="UJG3" t="s">
        <v>9832</v>
      </c>
      <c r="UJH3" t="s">
        <v>9833</v>
      </c>
      <c r="UJI3" t="s">
        <v>9834</v>
      </c>
      <c r="UJJ3" t="s">
        <v>9835</v>
      </c>
      <c r="UJK3" t="s">
        <v>9836</v>
      </c>
      <c r="UJL3" t="s">
        <v>9837</v>
      </c>
      <c r="UJM3" t="s">
        <v>9838</v>
      </c>
      <c r="UJN3" t="s">
        <v>9839</v>
      </c>
      <c r="UJO3" t="s">
        <v>9840</v>
      </c>
      <c r="UJP3" t="s">
        <v>9841</v>
      </c>
      <c r="UJQ3" t="s">
        <v>9842</v>
      </c>
      <c r="UJR3" t="s">
        <v>9843</v>
      </c>
      <c r="UJS3" t="s">
        <v>9844</v>
      </c>
      <c r="UJT3" t="s">
        <v>9845</v>
      </c>
      <c r="UJU3" t="s">
        <v>9846</v>
      </c>
      <c r="UJV3">
        <v>0</v>
      </c>
      <c r="UJW3" t="s">
        <v>9847</v>
      </c>
      <c r="UJX3" t="s">
        <v>9848</v>
      </c>
      <c r="UJY3" t="s">
        <v>9849</v>
      </c>
      <c r="UJZ3" t="s">
        <v>9850</v>
      </c>
      <c r="UKA3" t="s">
        <v>9851</v>
      </c>
      <c r="UKB3" t="s">
        <v>9852</v>
      </c>
      <c r="UKC3" t="s">
        <v>9853</v>
      </c>
      <c r="UKD3" t="s">
        <v>9854</v>
      </c>
      <c r="UKE3" t="s">
        <v>9855</v>
      </c>
      <c r="UKF3" t="s">
        <v>9856</v>
      </c>
      <c r="UKG3" t="s">
        <v>9857</v>
      </c>
      <c r="UKH3" t="s">
        <v>9858</v>
      </c>
      <c r="UKI3" t="s">
        <v>9859</v>
      </c>
      <c r="UKJ3" t="s">
        <v>9860</v>
      </c>
      <c r="UKK3" t="s">
        <v>9861</v>
      </c>
      <c r="UKL3" t="s">
        <v>9862</v>
      </c>
      <c r="UKM3" t="s">
        <v>9863</v>
      </c>
      <c r="UKN3" t="s">
        <v>9864</v>
      </c>
      <c r="UKO3" t="s">
        <v>9865</v>
      </c>
      <c r="UKP3" t="s">
        <v>4889</v>
      </c>
      <c r="UKQ3" t="s">
        <v>9866</v>
      </c>
      <c r="UKR3" t="s">
        <v>9867</v>
      </c>
      <c r="UKS3" t="s">
        <v>1695</v>
      </c>
      <c r="UKT3" t="s">
        <v>7230</v>
      </c>
      <c r="UKU3" t="s">
        <v>9868</v>
      </c>
      <c r="UKV3" t="s">
        <v>9869</v>
      </c>
      <c r="UKW3" t="s">
        <v>9870</v>
      </c>
      <c r="UKX3" t="s">
        <v>9871</v>
      </c>
      <c r="UKY3" t="s">
        <v>1695</v>
      </c>
      <c r="UKZ3" t="s">
        <v>325</v>
      </c>
      <c r="ULA3" t="s">
        <v>4493</v>
      </c>
      <c r="ULB3" t="s">
        <v>9872</v>
      </c>
      <c r="ULC3" t="s">
        <v>9873</v>
      </c>
      <c r="ULD3" t="s">
        <v>9874</v>
      </c>
      <c r="ULE3" t="s">
        <v>9875</v>
      </c>
      <c r="ULF3" t="s">
        <v>9876</v>
      </c>
      <c r="ULG3" t="s">
        <v>9877</v>
      </c>
      <c r="ULH3" t="s">
        <v>9878</v>
      </c>
      <c r="ULI3" t="s">
        <v>9879</v>
      </c>
      <c r="ULJ3" t="s">
        <v>9880</v>
      </c>
      <c r="ULK3" t="s">
        <v>44</v>
      </c>
      <c r="ULL3" t="s">
        <v>125</v>
      </c>
      <c r="ULM3" t="s">
        <v>126</v>
      </c>
      <c r="ULN3" t="s">
        <v>9881</v>
      </c>
      <c r="ULO3" t="s">
        <v>9882</v>
      </c>
      <c r="ULP3" t="s">
        <v>1279</v>
      </c>
      <c r="ULQ3" t="s">
        <v>9883</v>
      </c>
      <c r="ULR3" t="s">
        <v>1279</v>
      </c>
      <c r="ULS3" t="s">
        <v>9884</v>
      </c>
      <c r="ULT3" t="s">
        <v>9885</v>
      </c>
      <c r="ULU3" t="s">
        <v>9886</v>
      </c>
      <c r="ULV3" t="s">
        <v>44</v>
      </c>
      <c r="ULW3" t="s">
        <v>9887</v>
      </c>
      <c r="ULX3" t="s">
        <v>1503</v>
      </c>
      <c r="ULY3" t="s">
        <v>511</v>
      </c>
      <c r="ULZ3" t="s">
        <v>49</v>
      </c>
      <c r="UMA3" t="s">
        <v>1691</v>
      </c>
      <c r="UMB3" t="s">
        <v>1692</v>
      </c>
      <c r="UMC3" t="s">
        <v>9888</v>
      </c>
      <c r="UMD3" t="s">
        <v>1372</v>
      </c>
      <c r="UME3" t="s">
        <v>9889</v>
      </c>
      <c r="UMF3" t="s">
        <v>9890</v>
      </c>
      <c r="UMG3" t="s">
        <v>9891</v>
      </c>
      <c r="UMH3" t="s">
        <v>9892</v>
      </c>
      <c r="UMI3" t="s">
        <v>9893</v>
      </c>
      <c r="UMJ3" t="s">
        <v>9894</v>
      </c>
      <c r="UMK3" t="s">
        <v>9895</v>
      </c>
      <c r="UML3" t="s">
        <v>9896</v>
      </c>
      <c r="UMM3" t="s">
        <v>9897</v>
      </c>
      <c r="UMN3" t="s">
        <v>9898</v>
      </c>
      <c r="UMO3" t="s">
        <v>9899</v>
      </c>
      <c r="UMP3" t="s">
        <v>9900</v>
      </c>
      <c r="UMQ3" t="s">
        <v>1503</v>
      </c>
      <c r="UMR3" t="s">
        <v>511</v>
      </c>
      <c r="UMS3" t="s">
        <v>49</v>
      </c>
      <c r="UMT3" t="s">
        <v>9901</v>
      </c>
      <c r="UMU3" t="s">
        <v>9902</v>
      </c>
      <c r="UMV3" t="s">
        <v>1372</v>
      </c>
      <c r="UMW3" t="s">
        <v>9903</v>
      </c>
      <c r="UMX3" t="s">
        <v>9904</v>
      </c>
      <c r="UMY3" t="s">
        <v>9905</v>
      </c>
      <c r="UMZ3" t="s">
        <v>9906</v>
      </c>
      <c r="UNA3" t="s">
        <v>9907</v>
      </c>
      <c r="UNB3" t="s">
        <v>9908</v>
      </c>
      <c r="UNC3" t="s">
        <v>125</v>
      </c>
      <c r="UND3" t="s">
        <v>9909</v>
      </c>
      <c r="UNE3" t="s">
        <v>2615</v>
      </c>
      <c r="UNF3" t="s">
        <v>9910</v>
      </c>
      <c r="UNG3" t="s">
        <v>9911</v>
      </c>
      <c r="UNH3" t="s">
        <v>2615</v>
      </c>
      <c r="UNI3" t="s">
        <v>9912</v>
      </c>
      <c r="UNJ3" t="s">
        <v>9913</v>
      </c>
      <c r="UNK3" t="s">
        <v>9914</v>
      </c>
      <c r="UNL3" t="s">
        <v>9915</v>
      </c>
      <c r="UNM3" t="s">
        <v>9916</v>
      </c>
      <c r="UNN3" t="s">
        <v>9917</v>
      </c>
      <c r="UNO3" t="s">
        <v>44</v>
      </c>
      <c r="UNP3" t="s">
        <v>125</v>
      </c>
      <c r="UNQ3" t="s">
        <v>9918</v>
      </c>
      <c r="UNR3" t="s">
        <v>9919</v>
      </c>
      <c r="UNS3" t="s">
        <v>9920</v>
      </c>
      <c r="UNT3" t="s">
        <v>9921</v>
      </c>
      <c r="UNU3" t="s">
        <v>9922</v>
      </c>
      <c r="UNV3" t="s">
        <v>9923</v>
      </c>
      <c r="UNW3" t="s">
        <v>9924</v>
      </c>
      <c r="UNX3" t="s">
        <v>44</v>
      </c>
      <c r="UNY3" t="s">
        <v>9925</v>
      </c>
      <c r="UNZ3">
        <v>59.9</v>
      </c>
      <c r="UOA3">
        <v>59.99</v>
      </c>
      <c r="UOB3">
        <v>59.999000000000002</v>
      </c>
      <c r="UOC3" t="s">
        <v>9926</v>
      </c>
      <c r="UOD3" t="s">
        <v>44</v>
      </c>
      <c r="UOE3" t="s">
        <v>125</v>
      </c>
      <c r="UOF3" t="s">
        <v>126</v>
      </c>
      <c r="UOG3" t="s">
        <v>46</v>
      </c>
      <c r="UOH3" t="s">
        <v>9927</v>
      </c>
      <c r="UOI3" t="s">
        <v>9928</v>
      </c>
      <c r="UOJ3" t="s">
        <v>9929</v>
      </c>
      <c r="UOK3" t="s">
        <v>6201</v>
      </c>
      <c r="UOL3" t="s">
        <v>9930</v>
      </c>
      <c r="UOM3" t="s">
        <v>9931</v>
      </c>
      <c r="UON3" t="s">
        <v>9932</v>
      </c>
      <c r="UOO3" t="s">
        <v>9933</v>
      </c>
      <c r="UOP3" t="s">
        <v>9932</v>
      </c>
      <c r="UOQ3" t="s">
        <v>9934</v>
      </c>
      <c r="UOR3" t="s">
        <v>9935</v>
      </c>
      <c r="UOS3" t="s">
        <v>1636</v>
      </c>
      <c r="UOT3" t="s">
        <v>9936</v>
      </c>
      <c r="UOU3" t="s">
        <v>9937</v>
      </c>
      <c r="UOV3" t="s">
        <v>255</v>
      </c>
      <c r="UOW3" t="s">
        <v>126</v>
      </c>
      <c r="UOX3" t="s">
        <v>9938</v>
      </c>
      <c r="UOY3" t="s">
        <v>255</v>
      </c>
      <c r="UOZ3" t="s">
        <v>126</v>
      </c>
      <c r="UPA3" t="s">
        <v>9939</v>
      </c>
      <c r="UPB3" t="s">
        <v>44</v>
      </c>
      <c r="UPC3" t="s">
        <v>9940</v>
      </c>
      <c r="UPD3" t="s">
        <v>9941</v>
      </c>
      <c r="UPE3" t="s">
        <v>9942</v>
      </c>
      <c r="UPF3" t="s">
        <v>9943</v>
      </c>
      <c r="UPG3" t="s">
        <v>9944</v>
      </c>
      <c r="UPH3" t="s">
        <v>9945</v>
      </c>
      <c r="UPI3" t="s">
        <v>44</v>
      </c>
      <c r="UPJ3" t="s">
        <v>9946</v>
      </c>
      <c r="UPK3" t="s">
        <v>9947</v>
      </c>
      <c r="UPL3" t="s">
        <v>287</v>
      </c>
      <c r="UPM3" t="s">
        <v>9948</v>
      </c>
      <c r="UPN3" t="s">
        <v>9949</v>
      </c>
      <c r="UPO3" t="s">
        <v>6643</v>
      </c>
      <c r="UPP3" t="s">
        <v>126</v>
      </c>
      <c r="UPQ3" t="s">
        <v>4467</v>
      </c>
      <c r="UPR3" t="s">
        <v>9950</v>
      </c>
      <c r="UPS3" t="s">
        <v>9951</v>
      </c>
      <c r="UPT3" t="s">
        <v>3175</v>
      </c>
      <c r="UPU3" t="s">
        <v>9952</v>
      </c>
      <c r="UPV3" t="s">
        <v>9953</v>
      </c>
      <c r="UPW3" t="s">
        <v>9954</v>
      </c>
      <c r="UPX3" t="s">
        <v>9955</v>
      </c>
      <c r="UPY3" t="s">
        <v>9956</v>
      </c>
      <c r="UPZ3" t="s">
        <v>9957</v>
      </c>
      <c r="UQA3" t="s">
        <v>9958</v>
      </c>
      <c r="UQB3" t="s">
        <v>44</v>
      </c>
      <c r="UQC3" t="s">
        <v>333</v>
      </c>
      <c r="UQD3" t="s">
        <v>9959</v>
      </c>
      <c r="UQE3" t="s">
        <v>9960</v>
      </c>
      <c r="UQF3" t="s">
        <v>9961</v>
      </c>
      <c r="UQG3" t="s">
        <v>44</v>
      </c>
      <c r="UQH3" t="s">
        <v>9962</v>
      </c>
      <c r="UQI3" t="s">
        <v>9963</v>
      </c>
      <c r="UQJ3" t="s">
        <v>513</v>
      </c>
      <c r="UQK3" t="s">
        <v>9964</v>
      </c>
      <c r="UQL3" t="s">
        <v>9965</v>
      </c>
      <c r="UQM3" t="s">
        <v>9966</v>
      </c>
      <c r="UQN3" t="s">
        <v>125</v>
      </c>
      <c r="UQO3" t="s">
        <v>9967</v>
      </c>
      <c r="UQP3" t="s">
        <v>1494</v>
      </c>
      <c r="UQQ3" t="s">
        <v>9968</v>
      </c>
      <c r="UQR3" t="s">
        <v>9969</v>
      </c>
      <c r="UQS3" t="s">
        <v>9970</v>
      </c>
      <c r="UQT3" t="s">
        <v>9971</v>
      </c>
      <c r="UQU3" t="s">
        <v>9972</v>
      </c>
      <c r="UQV3" t="s">
        <v>9973</v>
      </c>
      <c r="UQW3" t="s">
        <v>9974</v>
      </c>
      <c r="UQX3" t="s">
        <v>9975</v>
      </c>
      <c r="UQY3" t="s">
        <v>9976</v>
      </c>
      <c r="UQZ3" t="s">
        <v>9977</v>
      </c>
      <c r="URA3" t="s">
        <v>9978</v>
      </c>
      <c r="URB3" t="s">
        <v>255</v>
      </c>
      <c r="URC3" t="s">
        <v>4201</v>
      </c>
      <c r="URD3" t="s">
        <v>9979</v>
      </c>
      <c r="URE3" t="s">
        <v>9980</v>
      </c>
      <c r="URF3" t="s">
        <v>9981</v>
      </c>
      <c r="URG3" t="s">
        <v>9982</v>
      </c>
      <c r="URH3" t="s">
        <v>9983</v>
      </c>
      <c r="URI3">
        <v>0</v>
      </c>
      <c r="URJ3">
        <v>0</v>
      </c>
      <c r="URK3">
        <v>0</v>
      </c>
      <c r="URL3">
        <v>0</v>
      </c>
      <c r="URM3">
        <v>1</v>
      </c>
      <c r="URN3">
        <v>0</v>
      </c>
      <c r="URO3">
        <v>0</v>
      </c>
      <c r="URP3">
        <v>0</v>
      </c>
      <c r="URQ3">
        <v>0</v>
      </c>
      <c r="URR3">
        <v>1</v>
      </c>
      <c r="URS3">
        <v>0</v>
      </c>
      <c r="URT3">
        <v>0</v>
      </c>
      <c r="URU3">
        <v>0</v>
      </c>
      <c r="URV3">
        <v>0</v>
      </c>
      <c r="URW3" t="s">
        <v>9984</v>
      </c>
      <c r="URX3" t="s">
        <v>125</v>
      </c>
      <c r="URY3" t="s">
        <v>9985</v>
      </c>
      <c r="URZ3" t="s">
        <v>5657</v>
      </c>
      <c r="USA3" t="s">
        <v>9986</v>
      </c>
      <c r="USB3" t="s">
        <v>9987</v>
      </c>
      <c r="USC3" t="s">
        <v>9988</v>
      </c>
      <c r="USD3" t="s">
        <v>9989</v>
      </c>
      <c r="USE3" t="s">
        <v>9990</v>
      </c>
      <c r="USF3" t="s">
        <v>44</v>
      </c>
      <c r="USG3" t="s">
        <v>9991</v>
      </c>
      <c r="USH3" t="s">
        <v>9992</v>
      </c>
      <c r="USI3" t="s">
        <v>9993</v>
      </c>
      <c r="USJ3" t="s">
        <v>9994</v>
      </c>
      <c r="USK3" t="s">
        <v>9995</v>
      </c>
      <c r="USL3" t="s">
        <v>9996</v>
      </c>
      <c r="USM3" t="s">
        <v>9997</v>
      </c>
      <c r="USN3" t="s">
        <v>9998</v>
      </c>
      <c r="USO3" t="s">
        <v>9999</v>
      </c>
      <c r="USP3" t="s">
        <v>10000</v>
      </c>
      <c r="USQ3" t="s">
        <v>10001</v>
      </c>
      <c r="USR3" t="s">
        <v>10002</v>
      </c>
      <c r="USS3" t="s">
        <v>10003</v>
      </c>
      <c r="UST3" t="s">
        <v>10004</v>
      </c>
      <c r="USU3" t="s">
        <v>1475</v>
      </c>
      <c r="USV3" t="s">
        <v>10005</v>
      </c>
      <c r="USW3" t="s">
        <v>1475</v>
      </c>
      <c r="USX3" t="s">
        <v>10006</v>
      </c>
      <c r="USY3" t="s">
        <v>1537</v>
      </c>
      <c r="USZ3" t="s">
        <v>1596</v>
      </c>
      <c r="UTA3" t="s">
        <v>10007</v>
      </c>
      <c r="UTB3" t="s">
        <v>44</v>
      </c>
      <c r="UTC3" t="s">
        <v>429</v>
      </c>
      <c r="UTD3" t="s">
        <v>10008</v>
      </c>
      <c r="UTE3" t="s">
        <v>10009</v>
      </c>
      <c r="UTF3" t="s">
        <v>10010</v>
      </c>
      <c r="UTG3" t="s">
        <v>10011</v>
      </c>
      <c r="UTH3" t="s">
        <v>10012</v>
      </c>
      <c r="UTI3" t="s">
        <v>10013</v>
      </c>
      <c r="UTJ3" t="s">
        <v>10014</v>
      </c>
      <c r="UTK3" t="s">
        <v>10015</v>
      </c>
      <c r="UTL3" t="s">
        <v>10016</v>
      </c>
      <c r="UTM3" t="s">
        <v>10017</v>
      </c>
      <c r="UTN3" t="s">
        <v>10018</v>
      </c>
      <c r="UTO3" t="s">
        <v>10019</v>
      </c>
      <c r="UTP3" t="s">
        <v>10020</v>
      </c>
      <c r="UTQ3" t="s">
        <v>10021</v>
      </c>
      <c r="UTR3" t="s">
        <v>10022</v>
      </c>
      <c r="UTS3" t="s">
        <v>10023</v>
      </c>
      <c r="UTT3" t="s">
        <v>10024</v>
      </c>
      <c r="UTU3" t="s">
        <v>10025</v>
      </c>
      <c r="UTV3" t="s">
        <v>10026</v>
      </c>
      <c r="UTW3" t="s">
        <v>10027</v>
      </c>
      <c r="UTX3" t="s">
        <v>10028</v>
      </c>
      <c r="UTY3" t="s">
        <v>10029</v>
      </c>
      <c r="UTZ3" t="s">
        <v>10030</v>
      </c>
      <c r="UUA3" t="s">
        <v>10031</v>
      </c>
      <c r="UUB3" t="s">
        <v>44</v>
      </c>
      <c r="UUC3" t="s">
        <v>10032</v>
      </c>
      <c r="UUD3" t="s">
        <v>10033</v>
      </c>
      <c r="UUE3" t="s">
        <v>44</v>
      </c>
      <c r="UUF3" t="s">
        <v>125</v>
      </c>
      <c r="UUG3" t="s">
        <v>6498</v>
      </c>
      <c r="UUH3" t="s">
        <v>48</v>
      </c>
      <c r="UUI3" t="s">
        <v>49</v>
      </c>
      <c r="UUJ3" t="s">
        <v>254</v>
      </c>
      <c r="UUK3" t="s">
        <v>896</v>
      </c>
      <c r="UUL3" t="s">
        <v>310</v>
      </c>
      <c r="UUM3" t="s">
        <v>1308</v>
      </c>
      <c r="UUN3" t="s">
        <v>10034</v>
      </c>
      <c r="UUO3" t="s">
        <v>10035</v>
      </c>
      <c r="UUP3" t="s">
        <v>2132</v>
      </c>
      <c r="UUQ3" t="s">
        <v>10036</v>
      </c>
      <c r="UUR3" t="s">
        <v>863</v>
      </c>
      <c r="UUS3" t="s">
        <v>10037</v>
      </c>
      <c r="UUT3" t="s">
        <v>10038</v>
      </c>
      <c r="UUU3" t="s">
        <v>10039</v>
      </c>
      <c r="UUV3" t="s">
        <v>10040</v>
      </c>
      <c r="UUW3" t="s">
        <v>10041</v>
      </c>
      <c r="UUX3" t="s">
        <v>10042</v>
      </c>
      <c r="UUY3" t="s">
        <v>10043</v>
      </c>
      <c r="UUZ3" t="s">
        <v>44</v>
      </c>
      <c r="UVA3" t="s">
        <v>125</v>
      </c>
      <c r="UVB3" t="s">
        <v>10044</v>
      </c>
      <c r="UVC3" t="s">
        <v>1685</v>
      </c>
      <c r="UVD3" t="s">
        <v>1685</v>
      </c>
      <c r="UVE3" t="s">
        <v>1600</v>
      </c>
      <c r="UVF3" t="s">
        <v>10045</v>
      </c>
      <c r="UVG3" t="s">
        <v>1526</v>
      </c>
      <c r="UVH3" t="s">
        <v>1685</v>
      </c>
      <c r="UVI3" t="s">
        <v>1600</v>
      </c>
      <c r="UVJ3" t="s">
        <v>10046</v>
      </c>
      <c r="UVK3" t="s">
        <v>1526</v>
      </c>
      <c r="UVL3" t="s">
        <v>1526</v>
      </c>
      <c r="UVM3" t="s">
        <v>1600</v>
      </c>
      <c r="UVN3" t="s">
        <v>10047</v>
      </c>
      <c r="UVO3" t="s">
        <v>1526</v>
      </c>
      <c r="UVP3" t="s">
        <v>1685</v>
      </c>
      <c r="UVQ3" t="s">
        <v>10048</v>
      </c>
      <c r="UVR3" t="s">
        <v>10049</v>
      </c>
      <c r="UVS3" t="s">
        <v>5798</v>
      </c>
      <c r="UVT3" t="s">
        <v>10050</v>
      </c>
      <c r="UVU3" t="s">
        <v>10051</v>
      </c>
      <c r="UVV3" t="s">
        <v>10052</v>
      </c>
      <c r="UVW3" t="s">
        <v>10053</v>
      </c>
      <c r="UVX3" t="s">
        <v>10054</v>
      </c>
      <c r="UVY3" t="s">
        <v>10055</v>
      </c>
      <c r="UVZ3" t="s">
        <v>2983</v>
      </c>
      <c r="UWA3" t="s">
        <v>10056</v>
      </c>
      <c r="UWB3" t="s">
        <v>10057</v>
      </c>
      <c r="UWC3" t="s">
        <v>44</v>
      </c>
      <c r="UWD3" t="s">
        <v>333</v>
      </c>
      <c r="UWE3" t="s">
        <v>10058</v>
      </c>
      <c r="UWF3" t="s">
        <v>10059</v>
      </c>
      <c r="UWG3" t="s">
        <v>10060</v>
      </c>
      <c r="UWH3" t="s">
        <v>10061</v>
      </c>
      <c r="UWI3" t="s">
        <v>10062</v>
      </c>
      <c r="UWJ3" t="s">
        <v>10063</v>
      </c>
      <c r="UWK3" t="s">
        <v>10064</v>
      </c>
      <c r="UWL3" t="s">
        <v>10065</v>
      </c>
      <c r="UWM3" t="s">
        <v>10066</v>
      </c>
      <c r="UWN3" t="s">
        <v>10067</v>
      </c>
      <c r="UWO3" t="s">
        <v>10068</v>
      </c>
      <c r="UWP3" t="s">
        <v>10069</v>
      </c>
      <c r="UWQ3" t="s">
        <v>10070</v>
      </c>
      <c r="UWR3" t="s">
        <v>10071</v>
      </c>
      <c r="UWS3" t="s">
        <v>10072</v>
      </c>
      <c r="UWT3" t="s">
        <v>10073</v>
      </c>
      <c r="UWU3" t="s">
        <v>10074</v>
      </c>
      <c r="UWV3" t="s">
        <v>44</v>
      </c>
      <c r="UWW3" t="s">
        <v>10075</v>
      </c>
      <c r="UWX3" t="s">
        <v>46</v>
      </c>
      <c r="UWY3" t="s">
        <v>47</v>
      </c>
      <c r="UWZ3" t="s">
        <v>10076</v>
      </c>
      <c r="UXA3" t="s">
        <v>10077</v>
      </c>
      <c r="UXB3" t="s">
        <v>1503</v>
      </c>
      <c r="UXC3" t="s">
        <v>10078</v>
      </c>
      <c r="UXD3" t="s">
        <v>10079</v>
      </c>
      <c r="UXE3" t="s">
        <v>125</v>
      </c>
      <c r="UXF3" t="s">
        <v>126</v>
      </c>
      <c r="UXG3" t="s">
        <v>46</v>
      </c>
      <c r="UXH3" t="s">
        <v>10080</v>
      </c>
      <c r="UXI3" t="s">
        <v>10081</v>
      </c>
      <c r="UXJ3" t="s">
        <v>10082</v>
      </c>
      <c r="UXK3" t="s">
        <v>10083</v>
      </c>
      <c r="UXL3" t="s">
        <v>10084</v>
      </c>
      <c r="UXM3" t="s">
        <v>10085</v>
      </c>
      <c r="UXN3" t="s">
        <v>10086</v>
      </c>
      <c r="UXO3" t="s">
        <v>10087</v>
      </c>
      <c r="UXP3" t="s">
        <v>10088</v>
      </c>
      <c r="UXQ3" t="s">
        <v>10089</v>
      </c>
      <c r="UXR3" t="s">
        <v>10090</v>
      </c>
      <c r="UXS3" t="s">
        <v>10091</v>
      </c>
      <c r="UXT3" t="s">
        <v>10092</v>
      </c>
      <c r="UXU3" t="s">
        <v>10093</v>
      </c>
      <c r="UXV3" t="s">
        <v>10094</v>
      </c>
      <c r="UXW3" t="s">
        <v>10095</v>
      </c>
      <c r="UXX3" t="s">
        <v>10096</v>
      </c>
      <c r="UXY3" t="s">
        <v>10097</v>
      </c>
      <c r="UXZ3" t="s">
        <v>10098</v>
      </c>
      <c r="UYA3" t="s">
        <v>10099</v>
      </c>
      <c r="UYB3" t="s">
        <v>10100</v>
      </c>
      <c r="UYC3" t="s">
        <v>10101</v>
      </c>
      <c r="UYD3" t="s">
        <v>10102</v>
      </c>
      <c r="UYE3" t="s">
        <v>4467</v>
      </c>
      <c r="UYF3" t="s">
        <v>10103</v>
      </c>
      <c r="UYG3" t="s">
        <v>10104</v>
      </c>
      <c r="UYH3" t="s">
        <v>10105</v>
      </c>
      <c r="UYI3" t="s">
        <v>10106</v>
      </c>
      <c r="UYJ3" t="s">
        <v>10107</v>
      </c>
      <c r="UYK3" t="s">
        <v>10108</v>
      </c>
      <c r="UYL3" t="s">
        <v>10109</v>
      </c>
      <c r="UYM3" t="s">
        <v>10110</v>
      </c>
      <c r="UYN3" t="s">
        <v>10111</v>
      </c>
      <c r="UYO3" t="s">
        <v>10112</v>
      </c>
      <c r="UYP3" t="s">
        <v>10113</v>
      </c>
      <c r="UYQ3" t="s">
        <v>10114</v>
      </c>
      <c r="UYR3" t="s">
        <v>10115</v>
      </c>
      <c r="UYS3" t="s">
        <v>10113</v>
      </c>
      <c r="UYT3" t="s">
        <v>10116</v>
      </c>
      <c r="UYU3" t="s">
        <v>10117</v>
      </c>
      <c r="UYV3" t="s">
        <v>10118</v>
      </c>
      <c r="UYW3" t="s">
        <v>10119</v>
      </c>
      <c r="UYX3" t="s">
        <v>10120</v>
      </c>
      <c r="UYY3" t="s">
        <v>10121</v>
      </c>
      <c r="UYZ3" t="s">
        <v>10122</v>
      </c>
      <c r="UZA3" t="s">
        <v>10123</v>
      </c>
      <c r="UZB3" t="s">
        <v>10124</v>
      </c>
      <c r="UZC3" t="s">
        <v>10125</v>
      </c>
      <c r="UZD3" t="s">
        <v>10126</v>
      </c>
      <c r="UZE3" t="s">
        <v>10127</v>
      </c>
      <c r="UZF3" t="s">
        <v>10128</v>
      </c>
      <c r="UZG3" t="s">
        <v>10129</v>
      </c>
      <c r="UZH3" t="s">
        <v>10130</v>
      </c>
      <c r="UZI3" t="s">
        <v>10131</v>
      </c>
      <c r="UZJ3" t="s">
        <v>10132</v>
      </c>
      <c r="UZK3" t="s">
        <v>10133</v>
      </c>
      <c r="UZL3" t="s">
        <v>44</v>
      </c>
      <c r="UZM3" t="s">
        <v>10134</v>
      </c>
      <c r="UZN3" t="s">
        <v>5798</v>
      </c>
      <c r="UZO3" t="s">
        <v>2982</v>
      </c>
      <c r="UZP3" t="s">
        <v>10135</v>
      </c>
      <c r="UZQ3" t="s">
        <v>10136</v>
      </c>
      <c r="UZR3" t="s">
        <v>5657</v>
      </c>
      <c r="UZS3" t="s">
        <v>10137</v>
      </c>
      <c r="UZT3" t="s">
        <v>10138</v>
      </c>
      <c r="UZU3" t="s">
        <v>10139</v>
      </c>
      <c r="UZV3" t="s">
        <v>10140</v>
      </c>
      <c r="UZW3" t="s">
        <v>10141</v>
      </c>
      <c r="UZX3" t="s">
        <v>10142</v>
      </c>
      <c r="UZY3" t="s">
        <v>10143</v>
      </c>
      <c r="UZZ3" t="s">
        <v>10144</v>
      </c>
      <c r="VAA3" t="s">
        <v>10145</v>
      </c>
      <c r="VAB3" t="s">
        <v>10146</v>
      </c>
      <c r="VAC3" t="s">
        <v>44</v>
      </c>
      <c r="VAD3" t="s">
        <v>2174</v>
      </c>
      <c r="VAE3" t="s">
        <v>46</v>
      </c>
      <c r="VAF3" t="s">
        <v>47</v>
      </c>
      <c r="VAG3" t="s">
        <v>10147</v>
      </c>
      <c r="VAH3" t="s">
        <v>44</v>
      </c>
      <c r="VAI3" t="s">
        <v>125</v>
      </c>
      <c r="VAJ3" t="s">
        <v>126</v>
      </c>
      <c r="VAK3" t="s">
        <v>46</v>
      </c>
      <c r="VAL3" t="s">
        <v>47</v>
      </c>
      <c r="VAM3" t="s">
        <v>1503</v>
      </c>
      <c r="VAN3" t="s">
        <v>10148</v>
      </c>
      <c r="VAO3" t="s">
        <v>10149</v>
      </c>
      <c r="VAP3" t="s">
        <v>10150</v>
      </c>
      <c r="VAQ3" t="s">
        <v>10151</v>
      </c>
      <c r="VAR3" t="s">
        <v>10152</v>
      </c>
      <c r="VAS3" t="s">
        <v>10153</v>
      </c>
      <c r="VAT3" t="s">
        <v>10154</v>
      </c>
      <c r="VAU3" t="s">
        <v>10155</v>
      </c>
      <c r="VAV3" t="s">
        <v>10156</v>
      </c>
      <c r="VAW3" t="s">
        <v>44</v>
      </c>
      <c r="VAX3" t="s">
        <v>125</v>
      </c>
      <c r="VAY3" t="s">
        <v>126</v>
      </c>
      <c r="VAZ3" t="s">
        <v>10157</v>
      </c>
      <c r="VBA3" t="s">
        <v>10158</v>
      </c>
      <c r="VBB3" t="s">
        <v>10159</v>
      </c>
      <c r="VBC3" t="s">
        <v>44</v>
      </c>
      <c r="VBD3" t="s">
        <v>125</v>
      </c>
      <c r="VBE3" t="s">
        <v>126</v>
      </c>
      <c r="VBF3" t="s">
        <v>46</v>
      </c>
      <c r="VBG3" t="s">
        <v>47</v>
      </c>
      <c r="VBH3" t="s">
        <v>1503</v>
      </c>
      <c r="VBI3" t="s">
        <v>10160</v>
      </c>
      <c r="VBJ3" t="s">
        <v>44</v>
      </c>
      <c r="VBK3" t="s">
        <v>125</v>
      </c>
      <c r="VBL3" t="s">
        <v>126</v>
      </c>
      <c r="VBM3" t="s">
        <v>46</v>
      </c>
      <c r="VBN3" t="s">
        <v>47</v>
      </c>
      <c r="VBO3" t="s">
        <v>1503</v>
      </c>
      <c r="VBP3" t="s">
        <v>10161</v>
      </c>
      <c r="VBQ3" t="s">
        <v>10151</v>
      </c>
      <c r="VBR3" t="s">
        <v>10162</v>
      </c>
      <c r="VBS3" t="s">
        <v>10163</v>
      </c>
      <c r="VBT3" t="s">
        <v>10164</v>
      </c>
      <c r="VBU3" t="s">
        <v>10165</v>
      </c>
      <c r="VBV3" t="s">
        <v>10166</v>
      </c>
      <c r="VBW3" t="s">
        <v>896</v>
      </c>
      <c r="VBX3" t="s">
        <v>1309</v>
      </c>
      <c r="VBY3" t="s">
        <v>10167</v>
      </c>
      <c r="VBZ3" t="s">
        <v>10168</v>
      </c>
      <c r="VCA3" t="s">
        <v>10169</v>
      </c>
      <c r="VCB3" t="s">
        <v>896</v>
      </c>
      <c r="VCC3" t="s">
        <v>1309</v>
      </c>
      <c r="VCD3" t="s">
        <v>10170</v>
      </c>
      <c r="VCE3" t="s">
        <v>10171</v>
      </c>
      <c r="VCF3" t="s">
        <v>10172</v>
      </c>
      <c r="VCG3" t="s">
        <v>1308</v>
      </c>
      <c r="VCH3" t="s">
        <v>1310</v>
      </c>
      <c r="VCI3" t="s">
        <v>10173</v>
      </c>
      <c r="VCJ3" t="s">
        <v>10174</v>
      </c>
      <c r="VCK3" t="s">
        <v>10172</v>
      </c>
      <c r="VCL3" t="s">
        <v>1308</v>
      </c>
      <c r="VCM3" t="s">
        <v>1310</v>
      </c>
      <c r="VCN3" t="s">
        <v>10175</v>
      </c>
      <c r="VCO3" t="s">
        <v>10176</v>
      </c>
      <c r="VCP3" t="s">
        <v>10177</v>
      </c>
      <c r="VCQ3" t="s">
        <v>44</v>
      </c>
      <c r="VCR3" t="s">
        <v>125</v>
      </c>
      <c r="VCS3" t="s">
        <v>10178</v>
      </c>
      <c r="VCT3" t="s">
        <v>10179</v>
      </c>
      <c r="VCU3" t="s">
        <v>10180</v>
      </c>
      <c r="VCV3" t="s">
        <v>10181</v>
      </c>
      <c r="VCW3" t="s">
        <v>1981</v>
      </c>
      <c r="VCX3" t="s">
        <v>10182</v>
      </c>
      <c r="VCY3" t="s">
        <v>1981</v>
      </c>
      <c r="VCZ3" t="s">
        <v>10183</v>
      </c>
      <c r="VDA3" t="s">
        <v>10184</v>
      </c>
      <c r="VDB3" t="s">
        <v>1981</v>
      </c>
      <c r="VDC3" t="s">
        <v>10185</v>
      </c>
      <c r="VDD3" t="s">
        <v>10186</v>
      </c>
      <c r="VDE3" t="s">
        <v>10187</v>
      </c>
      <c r="VDF3" t="s">
        <v>10188</v>
      </c>
      <c r="VDG3" t="s">
        <v>10189</v>
      </c>
      <c r="VDH3" t="s">
        <v>10190</v>
      </c>
      <c r="VDI3" t="s">
        <v>44</v>
      </c>
      <c r="VDJ3" t="s">
        <v>429</v>
      </c>
      <c r="VDK3" t="s">
        <v>46</v>
      </c>
      <c r="VDL3" t="s">
        <v>10191</v>
      </c>
      <c r="VDM3" t="s">
        <v>10192</v>
      </c>
      <c r="VDN3" t="s">
        <v>10193</v>
      </c>
      <c r="VDO3" t="s">
        <v>10194</v>
      </c>
      <c r="VDP3" t="s">
        <v>6223</v>
      </c>
      <c r="VDQ3" t="s">
        <v>10195</v>
      </c>
      <c r="VDR3" t="s">
        <v>10196</v>
      </c>
      <c r="VDS3" t="s">
        <v>10197</v>
      </c>
      <c r="VDT3" t="s">
        <v>10198</v>
      </c>
      <c r="VDU3" t="s">
        <v>10199</v>
      </c>
      <c r="VDV3" t="s">
        <v>10200</v>
      </c>
      <c r="VDW3" t="s">
        <v>10201</v>
      </c>
      <c r="VDX3" t="s">
        <v>10202</v>
      </c>
      <c r="VDY3" t="s">
        <v>44</v>
      </c>
      <c r="VDZ3" t="s">
        <v>125</v>
      </c>
      <c r="VEA3" t="s">
        <v>6712</v>
      </c>
      <c r="VEB3" t="s">
        <v>47</v>
      </c>
      <c r="VEC3" t="s">
        <v>1503</v>
      </c>
      <c r="VED3" t="s">
        <v>10203</v>
      </c>
      <c r="VEE3" t="s">
        <v>10204</v>
      </c>
      <c r="VEF3" t="s">
        <v>10205</v>
      </c>
      <c r="VEG3" t="s">
        <v>10206</v>
      </c>
      <c r="VEH3" t="s">
        <v>2193</v>
      </c>
      <c r="VEI3" t="s">
        <v>5823</v>
      </c>
      <c r="VEJ3" t="s">
        <v>10207</v>
      </c>
      <c r="VEK3" t="s">
        <v>10208</v>
      </c>
      <c r="VEL3" t="s">
        <v>10209</v>
      </c>
      <c r="VEM3" t="s">
        <v>10210</v>
      </c>
      <c r="VEN3" t="s">
        <v>10211</v>
      </c>
      <c r="VEO3" t="s">
        <v>44</v>
      </c>
      <c r="VEP3" t="s">
        <v>835</v>
      </c>
      <c r="VEQ3" t="s">
        <v>334</v>
      </c>
      <c r="VER3" t="s">
        <v>10212</v>
      </c>
      <c r="VES3" t="s">
        <v>10213</v>
      </c>
      <c r="VET3" t="s">
        <v>10214</v>
      </c>
      <c r="VEU3" t="s">
        <v>10215</v>
      </c>
      <c r="VEV3" t="s">
        <v>10216</v>
      </c>
      <c r="VEW3" t="s">
        <v>10217</v>
      </c>
      <c r="VEX3" t="s">
        <v>10218</v>
      </c>
      <c r="VEY3" t="s">
        <v>44</v>
      </c>
      <c r="VEZ3" t="s">
        <v>10219</v>
      </c>
      <c r="VFA3" t="s">
        <v>511</v>
      </c>
      <c r="VFB3" t="s">
        <v>1308</v>
      </c>
      <c r="VFC3" t="s">
        <v>1309</v>
      </c>
      <c r="VFD3" t="s">
        <v>1310</v>
      </c>
      <c r="VFE3" t="s">
        <v>10220</v>
      </c>
      <c r="VFF3" t="s">
        <v>10221</v>
      </c>
      <c r="VFG3" t="s">
        <v>10222</v>
      </c>
      <c r="VFH3" t="s">
        <v>10223</v>
      </c>
      <c r="VFI3" t="s">
        <v>10224</v>
      </c>
      <c r="VFJ3" t="s">
        <v>10225</v>
      </c>
      <c r="VFK3" t="s">
        <v>10226</v>
      </c>
      <c r="VFL3" t="s">
        <v>10227</v>
      </c>
      <c r="VFM3" t="s">
        <v>10228</v>
      </c>
      <c r="VFN3" t="s">
        <v>6155</v>
      </c>
      <c r="VFO3" t="s">
        <v>10229</v>
      </c>
      <c r="VFP3" t="s">
        <v>6155</v>
      </c>
      <c r="VFQ3" t="s">
        <v>10230</v>
      </c>
      <c r="VFR3" t="s">
        <v>10231</v>
      </c>
      <c r="VFS3" t="s">
        <v>10232</v>
      </c>
      <c r="VFT3" t="s">
        <v>10233</v>
      </c>
      <c r="VFU3" t="s">
        <v>10234</v>
      </c>
      <c r="VFV3" t="s">
        <v>10235</v>
      </c>
      <c r="VFW3" t="s">
        <v>10236</v>
      </c>
      <c r="VFX3" t="s">
        <v>10237</v>
      </c>
      <c r="VFY3" t="s">
        <v>10238</v>
      </c>
      <c r="VFZ3" t="s">
        <v>10239</v>
      </c>
      <c r="VGA3" t="s">
        <v>10240</v>
      </c>
      <c r="VGB3" t="s">
        <v>10241</v>
      </c>
      <c r="VGC3" t="s">
        <v>44</v>
      </c>
      <c r="VGD3" t="s">
        <v>10242</v>
      </c>
      <c r="VGE3" t="s">
        <v>10243</v>
      </c>
      <c r="VGF3" t="s">
        <v>10244</v>
      </c>
      <c r="VGG3" t="s">
        <v>10245</v>
      </c>
      <c r="VGH3" t="s">
        <v>10246</v>
      </c>
      <c r="VGI3" t="s">
        <v>10247</v>
      </c>
      <c r="VGJ3" t="s">
        <v>10248</v>
      </c>
      <c r="VGK3" t="s">
        <v>10249</v>
      </c>
      <c r="VGL3" t="s">
        <v>10250</v>
      </c>
      <c r="VGM3" t="s">
        <v>10251</v>
      </c>
      <c r="VGN3" t="s">
        <v>10252</v>
      </c>
      <c r="VGO3" t="s">
        <v>44</v>
      </c>
      <c r="VGP3" t="s">
        <v>333</v>
      </c>
      <c r="VGQ3" t="s">
        <v>10253</v>
      </c>
      <c r="VGR3" t="s">
        <v>10254</v>
      </c>
      <c r="VGS3" t="s">
        <v>1447</v>
      </c>
      <c r="VGT3" t="s">
        <v>10255</v>
      </c>
      <c r="VGU3" t="s">
        <v>10256</v>
      </c>
      <c r="VGV3" t="s">
        <v>10257</v>
      </c>
      <c r="VGW3" t="s">
        <v>10258</v>
      </c>
      <c r="VGX3" t="s">
        <v>10259</v>
      </c>
      <c r="VGY3" t="s">
        <v>10260</v>
      </c>
      <c r="VGZ3" t="s">
        <v>10261</v>
      </c>
      <c r="VHA3" t="s">
        <v>10262</v>
      </c>
      <c r="VHB3" t="s">
        <v>10263</v>
      </c>
      <c r="VHC3" t="s">
        <v>10264</v>
      </c>
      <c r="VHD3" t="s">
        <v>10265</v>
      </c>
      <c r="VHE3" t="s">
        <v>10266</v>
      </c>
      <c r="VHF3" t="s">
        <v>10267</v>
      </c>
      <c r="VHG3" t="s">
        <v>10268</v>
      </c>
      <c r="VHH3" t="s">
        <v>10269</v>
      </c>
      <c r="VHI3" t="s">
        <v>10270</v>
      </c>
      <c r="VHJ3" t="s">
        <v>10271</v>
      </c>
      <c r="VHK3" t="s">
        <v>10272</v>
      </c>
      <c r="VHL3" t="s">
        <v>10273</v>
      </c>
      <c r="VHM3" t="s">
        <v>10274</v>
      </c>
      <c r="VHN3" t="s">
        <v>10275</v>
      </c>
      <c r="VHO3" t="s">
        <v>10276</v>
      </c>
      <c r="VHP3" t="s">
        <v>10277</v>
      </c>
      <c r="VHQ3" t="s">
        <v>10278</v>
      </c>
      <c r="VHR3" t="s">
        <v>10279</v>
      </c>
      <c r="VHS3" t="s">
        <v>10280</v>
      </c>
      <c r="VHT3" t="s">
        <v>10281</v>
      </c>
      <c r="VHU3" t="s">
        <v>10282</v>
      </c>
      <c r="VHV3" t="s">
        <v>10283</v>
      </c>
      <c r="VHW3" t="s">
        <v>10284</v>
      </c>
      <c r="VHX3" t="s">
        <v>10285</v>
      </c>
      <c r="VHY3" t="s">
        <v>10286</v>
      </c>
      <c r="VHZ3" t="s">
        <v>10287</v>
      </c>
      <c r="VIA3" t="s">
        <v>10288</v>
      </c>
      <c r="VIB3" t="s">
        <v>10289</v>
      </c>
      <c r="VIC3" t="s">
        <v>10290</v>
      </c>
      <c r="VID3" t="s">
        <v>10291</v>
      </c>
      <c r="VIE3" t="s">
        <v>10292</v>
      </c>
      <c r="VIF3" t="s">
        <v>10293</v>
      </c>
      <c r="VIG3" t="s">
        <v>10294</v>
      </c>
      <c r="VIH3" t="s">
        <v>10295</v>
      </c>
      <c r="VII3" t="s">
        <v>10296</v>
      </c>
      <c r="VIJ3" t="s">
        <v>10297</v>
      </c>
      <c r="VIK3" t="s">
        <v>10298</v>
      </c>
      <c r="VIL3" t="s">
        <v>10299</v>
      </c>
      <c r="VIM3" t="s">
        <v>10300</v>
      </c>
      <c r="VIN3" t="s">
        <v>10301</v>
      </c>
      <c r="VIO3" t="s">
        <v>10302</v>
      </c>
      <c r="VIP3" t="s">
        <v>10303</v>
      </c>
      <c r="VIQ3" t="s">
        <v>10304</v>
      </c>
      <c r="VIR3" t="s">
        <v>10305</v>
      </c>
      <c r="VIS3" t="s">
        <v>10306</v>
      </c>
      <c r="VIT3" t="s">
        <v>10307</v>
      </c>
      <c r="VIU3" t="s">
        <v>10308</v>
      </c>
      <c r="VIV3" t="s">
        <v>10309</v>
      </c>
      <c r="VIW3" t="s">
        <v>10310</v>
      </c>
      <c r="VIX3" t="s">
        <v>10311</v>
      </c>
      <c r="VIY3" t="s">
        <v>10312</v>
      </c>
      <c r="VIZ3" t="s">
        <v>10313</v>
      </c>
      <c r="VJA3" t="s">
        <v>10314</v>
      </c>
      <c r="VJB3" t="s">
        <v>10315</v>
      </c>
      <c r="VJC3" t="s">
        <v>10316</v>
      </c>
      <c r="VJD3" t="s">
        <v>10317</v>
      </c>
      <c r="VJE3" t="s">
        <v>10318</v>
      </c>
      <c r="VJF3" t="s">
        <v>10319</v>
      </c>
      <c r="VJG3" t="s">
        <v>10320</v>
      </c>
      <c r="VJH3" t="s">
        <v>10321</v>
      </c>
      <c r="VJI3" t="s">
        <v>10322</v>
      </c>
      <c r="VJJ3" t="s">
        <v>10323</v>
      </c>
      <c r="VJK3" t="s">
        <v>10324</v>
      </c>
      <c r="VJL3" t="s">
        <v>10325</v>
      </c>
      <c r="VJM3" t="s">
        <v>10326</v>
      </c>
      <c r="VJN3" t="s">
        <v>10327</v>
      </c>
      <c r="VJO3" t="s">
        <v>10328</v>
      </c>
      <c r="VJP3" t="s">
        <v>10329</v>
      </c>
      <c r="VJQ3" t="s">
        <v>10330</v>
      </c>
      <c r="VJR3" t="s">
        <v>10331</v>
      </c>
      <c r="VJS3" t="s">
        <v>10332</v>
      </c>
      <c r="VJT3" t="s">
        <v>10333</v>
      </c>
      <c r="VJU3" t="s">
        <v>10334</v>
      </c>
      <c r="VJV3" t="s">
        <v>10335</v>
      </c>
      <c r="VJW3" t="s">
        <v>10336</v>
      </c>
      <c r="VJX3" t="s">
        <v>10337</v>
      </c>
      <c r="VJY3" t="s">
        <v>10338</v>
      </c>
      <c r="VJZ3" t="s">
        <v>10339</v>
      </c>
      <c r="VKA3" t="s">
        <v>10340</v>
      </c>
      <c r="VKB3" t="s">
        <v>10341</v>
      </c>
      <c r="VKC3" t="s">
        <v>10342</v>
      </c>
      <c r="VKD3" t="s">
        <v>10343</v>
      </c>
      <c r="VKE3" t="s">
        <v>10344</v>
      </c>
      <c r="VKF3" t="s">
        <v>10345</v>
      </c>
      <c r="VKG3" t="s">
        <v>10346</v>
      </c>
      <c r="VKH3" t="s">
        <v>10347</v>
      </c>
      <c r="VKI3" t="s">
        <v>10348</v>
      </c>
      <c r="VKJ3" t="s">
        <v>10349</v>
      </c>
      <c r="VKK3" t="s">
        <v>10350</v>
      </c>
      <c r="VKL3" t="s">
        <v>10351</v>
      </c>
      <c r="VKM3" t="s">
        <v>10352</v>
      </c>
      <c r="VKN3" t="s">
        <v>10353</v>
      </c>
      <c r="VKO3" t="s">
        <v>10354</v>
      </c>
      <c r="VKP3" t="s">
        <v>10355</v>
      </c>
      <c r="VKQ3" t="s">
        <v>10356</v>
      </c>
      <c r="VKR3" t="s">
        <v>10357</v>
      </c>
      <c r="VKS3" t="s">
        <v>10358</v>
      </c>
      <c r="VKT3" t="s">
        <v>10359</v>
      </c>
      <c r="VKU3" t="s">
        <v>10360</v>
      </c>
      <c r="VKV3" t="s">
        <v>10361</v>
      </c>
      <c r="VKW3" t="s">
        <v>10362</v>
      </c>
      <c r="VKX3" t="s">
        <v>10363</v>
      </c>
      <c r="VKY3" t="s">
        <v>10364</v>
      </c>
      <c r="VKZ3" t="s">
        <v>10365</v>
      </c>
      <c r="VLA3" t="s">
        <v>10366</v>
      </c>
      <c r="VLB3" t="s">
        <v>10367</v>
      </c>
      <c r="VLC3" t="s">
        <v>10368</v>
      </c>
      <c r="VLD3" t="s">
        <v>10369</v>
      </c>
      <c r="VLE3" t="s">
        <v>10370</v>
      </c>
      <c r="VLF3" t="s">
        <v>10371</v>
      </c>
      <c r="VLG3" t="s">
        <v>10372</v>
      </c>
      <c r="VLH3" t="s">
        <v>10373</v>
      </c>
      <c r="VLI3" t="s">
        <v>10374</v>
      </c>
      <c r="VLJ3" t="s">
        <v>10375</v>
      </c>
      <c r="VLK3" t="s">
        <v>10376</v>
      </c>
      <c r="VLL3" t="s">
        <v>10377</v>
      </c>
      <c r="VLM3" t="s">
        <v>44</v>
      </c>
      <c r="VLN3" t="s">
        <v>125</v>
      </c>
      <c r="VLO3" t="s">
        <v>10378</v>
      </c>
      <c r="VLP3" t="s">
        <v>10379</v>
      </c>
      <c r="VLQ3" t="s">
        <v>10380</v>
      </c>
      <c r="VLR3" t="s">
        <v>10381</v>
      </c>
      <c r="VLS3" t="s">
        <v>7591</v>
      </c>
      <c r="VLT3" t="s">
        <v>10382</v>
      </c>
      <c r="VLU3" t="s">
        <v>10381</v>
      </c>
      <c r="VLV3" t="s">
        <v>1356</v>
      </c>
      <c r="VLW3" t="s">
        <v>10383</v>
      </c>
      <c r="VLX3" t="s">
        <v>10384</v>
      </c>
      <c r="VLY3" t="s">
        <v>10385</v>
      </c>
      <c r="VLZ3" t="s">
        <v>10386</v>
      </c>
      <c r="VMA3" t="s">
        <v>10387</v>
      </c>
      <c r="VMB3" t="s">
        <v>44</v>
      </c>
      <c r="VMC3" t="s">
        <v>10388</v>
      </c>
      <c r="VMD3" t="s">
        <v>10389</v>
      </c>
      <c r="VME3" t="s">
        <v>10390</v>
      </c>
      <c r="VMF3" t="s">
        <v>10391</v>
      </c>
      <c r="VMG3" t="s">
        <v>10392</v>
      </c>
      <c r="VMH3" t="s">
        <v>10393</v>
      </c>
      <c r="VMI3" t="s">
        <v>44</v>
      </c>
      <c r="VMJ3" t="s">
        <v>10394</v>
      </c>
      <c r="VMK3" t="s">
        <v>10395</v>
      </c>
      <c r="VML3" t="s">
        <v>10396</v>
      </c>
      <c r="VMM3" t="s">
        <v>44</v>
      </c>
      <c r="VMN3" t="s">
        <v>125</v>
      </c>
      <c r="VMO3" t="s">
        <v>126</v>
      </c>
      <c r="VMP3" t="s">
        <v>10397</v>
      </c>
      <c r="VMQ3" t="s">
        <v>958</v>
      </c>
      <c r="VMR3" t="s">
        <v>10398</v>
      </c>
      <c r="VMS3" t="s">
        <v>125</v>
      </c>
      <c r="VMT3" t="s">
        <v>126</v>
      </c>
      <c r="VMU3" t="s">
        <v>10399</v>
      </c>
      <c r="VMV3" t="s">
        <v>10400</v>
      </c>
      <c r="VMW3" t="s">
        <v>125</v>
      </c>
      <c r="VMX3" t="s">
        <v>126</v>
      </c>
      <c r="VMY3" t="s">
        <v>10401</v>
      </c>
      <c r="VMZ3" t="s">
        <v>10402</v>
      </c>
      <c r="VNA3" t="s">
        <v>10403</v>
      </c>
      <c r="VNB3" t="s">
        <v>1503</v>
      </c>
      <c r="VNC3" t="s">
        <v>10404</v>
      </c>
      <c r="VND3" t="s">
        <v>10405</v>
      </c>
      <c r="VNE3" t="s">
        <v>10406</v>
      </c>
      <c r="VNF3" t="s">
        <v>10407</v>
      </c>
      <c r="VNG3" t="s">
        <v>2543</v>
      </c>
      <c r="VNH3" t="s">
        <v>10408</v>
      </c>
      <c r="VNI3" t="s">
        <v>10409</v>
      </c>
      <c r="VNJ3" t="s">
        <v>10410</v>
      </c>
      <c r="VNK3" t="s">
        <v>10411</v>
      </c>
      <c r="VNL3" t="s">
        <v>125</v>
      </c>
      <c r="VNM3" t="s">
        <v>126</v>
      </c>
      <c r="VNN3" t="s">
        <v>10412</v>
      </c>
      <c r="VNO3" t="s">
        <v>10413</v>
      </c>
      <c r="VNP3" t="s">
        <v>10414</v>
      </c>
      <c r="VNQ3" t="s">
        <v>10415</v>
      </c>
      <c r="VNR3" t="s">
        <v>10416</v>
      </c>
      <c r="VNS3" t="s">
        <v>10417</v>
      </c>
      <c r="VNT3" t="s">
        <v>10418</v>
      </c>
      <c r="VNU3" t="s">
        <v>5657</v>
      </c>
      <c r="VNV3" t="s">
        <v>10419</v>
      </c>
      <c r="VNW3" t="s">
        <v>10420</v>
      </c>
      <c r="VNX3" t="s">
        <v>126</v>
      </c>
      <c r="VNY3" t="s">
        <v>46</v>
      </c>
      <c r="VNZ3" t="s">
        <v>47</v>
      </c>
      <c r="VOA3" t="s">
        <v>10421</v>
      </c>
      <c r="VOB3" t="s">
        <v>10422</v>
      </c>
      <c r="VOC3" t="s">
        <v>10423</v>
      </c>
      <c r="VOD3" t="s">
        <v>971</v>
      </c>
      <c r="VOE3" t="s">
        <v>10424</v>
      </c>
      <c r="VOF3" t="s">
        <v>10425</v>
      </c>
      <c r="VOG3" t="s">
        <v>10426</v>
      </c>
      <c r="VOH3" t="s">
        <v>10427</v>
      </c>
      <c r="VOI3" t="s">
        <v>10428</v>
      </c>
      <c r="VOJ3" t="s">
        <v>44</v>
      </c>
      <c r="VOK3" t="s">
        <v>10429</v>
      </c>
      <c r="VOL3" t="s">
        <v>44</v>
      </c>
      <c r="VOM3" t="s">
        <v>10430</v>
      </c>
      <c r="VON3" t="s">
        <v>10431</v>
      </c>
      <c r="VOO3" t="s">
        <v>10432</v>
      </c>
      <c r="VOP3" t="s">
        <v>10433</v>
      </c>
      <c r="VOQ3" t="s">
        <v>10434</v>
      </c>
      <c r="VOR3" t="s">
        <v>10435</v>
      </c>
      <c r="VOS3" t="s">
        <v>44</v>
      </c>
      <c r="VOT3" t="s">
        <v>10436</v>
      </c>
      <c r="VOU3" t="s">
        <v>6861</v>
      </c>
      <c r="VOV3" t="s">
        <v>10437</v>
      </c>
      <c r="VOW3" t="s">
        <v>10438</v>
      </c>
      <c r="VOX3" t="s">
        <v>44</v>
      </c>
      <c r="VOY3" t="s">
        <v>125</v>
      </c>
      <c r="VOZ3" t="s">
        <v>10439</v>
      </c>
      <c r="VPA3" t="s">
        <v>10440</v>
      </c>
      <c r="VPB3" t="s">
        <v>10441</v>
      </c>
      <c r="VPC3" t="s">
        <v>10442</v>
      </c>
      <c r="VPD3" t="s">
        <v>44</v>
      </c>
      <c r="VPE3" t="s">
        <v>10443</v>
      </c>
      <c r="VPF3" t="s">
        <v>44</v>
      </c>
      <c r="VPG3" t="s">
        <v>125</v>
      </c>
      <c r="VPH3" t="s">
        <v>10444</v>
      </c>
      <c r="VPI3" t="s">
        <v>10445</v>
      </c>
      <c r="VPJ3" t="s">
        <v>44</v>
      </c>
      <c r="VPK3" t="s">
        <v>125</v>
      </c>
      <c r="VPL3" t="s">
        <v>10446</v>
      </c>
      <c r="VPM3" t="s">
        <v>10447</v>
      </c>
      <c r="VPN3" t="s">
        <v>10448</v>
      </c>
      <c r="VPO3" t="s">
        <v>44</v>
      </c>
      <c r="VPP3" t="s">
        <v>125</v>
      </c>
      <c r="VPQ3" t="s">
        <v>10449</v>
      </c>
      <c r="VPR3" t="s">
        <v>10450</v>
      </c>
      <c r="VPS3" t="s">
        <v>10451</v>
      </c>
      <c r="VPT3" t="s">
        <v>44</v>
      </c>
      <c r="VPU3" t="s">
        <v>125</v>
      </c>
      <c r="VPV3" t="s">
        <v>10452</v>
      </c>
      <c r="VPW3" t="s">
        <v>10453</v>
      </c>
      <c r="VPX3" t="s">
        <v>10454</v>
      </c>
      <c r="VPY3" t="s">
        <v>44</v>
      </c>
      <c r="VPZ3" t="s">
        <v>429</v>
      </c>
      <c r="VQA3" t="s">
        <v>46</v>
      </c>
      <c r="VQB3" t="s">
        <v>10455</v>
      </c>
      <c r="VQC3" t="s">
        <v>10456</v>
      </c>
      <c r="VQD3" t="s">
        <v>10457</v>
      </c>
      <c r="VQE3" t="s">
        <v>10458</v>
      </c>
      <c r="VQF3" t="s">
        <v>10459</v>
      </c>
      <c r="VQG3" t="s">
        <v>2982</v>
      </c>
      <c r="VQH3" t="s">
        <v>10460</v>
      </c>
      <c r="VQI3" t="s">
        <v>10461</v>
      </c>
      <c r="VQJ3" t="s">
        <v>10462</v>
      </c>
      <c r="VQK3" t="s">
        <v>10463</v>
      </c>
      <c r="VQL3" t="s">
        <v>10464</v>
      </c>
      <c r="VQM3" t="s">
        <v>125</v>
      </c>
      <c r="VQN3" t="s">
        <v>10465</v>
      </c>
      <c r="VQO3" t="s">
        <v>1503</v>
      </c>
      <c r="VQP3" t="s">
        <v>511</v>
      </c>
      <c r="VQQ3" t="s">
        <v>10466</v>
      </c>
      <c r="VQR3" t="s">
        <v>10467</v>
      </c>
      <c r="VQS3" t="s">
        <v>10468</v>
      </c>
      <c r="VQT3" t="s">
        <v>10469</v>
      </c>
      <c r="VQU3" t="s">
        <v>10470</v>
      </c>
      <c r="VQV3" t="s">
        <v>10471</v>
      </c>
      <c r="VQW3" t="s">
        <v>10472</v>
      </c>
      <c r="VQX3" t="s">
        <v>10473</v>
      </c>
      <c r="VQY3" t="s">
        <v>10474</v>
      </c>
      <c r="VQZ3" t="s">
        <v>10475</v>
      </c>
      <c r="VRA3" t="s">
        <v>10476</v>
      </c>
      <c r="VRB3" t="s">
        <v>10477</v>
      </c>
      <c r="VRC3" t="s">
        <v>10478</v>
      </c>
      <c r="VRD3" t="s">
        <v>10479</v>
      </c>
      <c r="VRE3" t="s">
        <v>44</v>
      </c>
      <c r="VRF3" t="s">
        <v>125</v>
      </c>
      <c r="VRG3" t="s">
        <v>10480</v>
      </c>
      <c r="VRH3" t="s">
        <v>388</v>
      </c>
      <c r="VRI3" t="s">
        <v>10481</v>
      </c>
      <c r="VRJ3" t="s">
        <v>2088</v>
      </c>
      <c r="VRK3" t="s">
        <v>10482</v>
      </c>
      <c r="VRL3" t="s">
        <v>44</v>
      </c>
      <c r="VRM3" t="s">
        <v>125</v>
      </c>
      <c r="VRN3" t="s">
        <v>10483</v>
      </c>
      <c r="VRO3" t="s">
        <v>10484</v>
      </c>
      <c r="VRP3" t="s">
        <v>2088</v>
      </c>
      <c r="VRQ3" t="s">
        <v>10485</v>
      </c>
      <c r="VRR3" t="s">
        <v>6643</v>
      </c>
      <c r="VRS3" t="s">
        <v>10486</v>
      </c>
      <c r="VRT3" t="s">
        <v>10487</v>
      </c>
      <c r="VRU3" t="s">
        <v>10488</v>
      </c>
      <c r="VRV3" t="s">
        <v>10489</v>
      </c>
      <c r="VRW3" t="s">
        <v>10490</v>
      </c>
      <c r="VRX3" t="s">
        <v>10491</v>
      </c>
      <c r="VRY3" t="s">
        <v>10492</v>
      </c>
      <c r="VRZ3" t="s">
        <v>10493</v>
      </c>
      <c r="VSA3" t="s">
        <v>10494</v>
      </c>
      <c r="VSB3" t="s">
        <v>10495</v>
      </c>
      <c r="VSC3" t="s">
        <v>10496</v>
      </c>
      <c r="VSD3" t="s">
        <v>10497</v>
      </c>
      <c r="VSE3" t="s">
        <v>125</v>
      </c>
      <c r="VSF3" t="s">
        <v>126</v>
      </c>
      <c r="VSG3" t="s">
        <v>46</v>
      </c>
      <c r="VSH3" t="s">
        <v>47</v>
      </c>
      <c r="VSI3" t="s">
        <v>1503</v>
      </c>
      <c r="VSJ3" t="s">
        <v>10498</v>
      </c>
      <c r="VSK3" t="s">
        <v>10499</v>
      </c>
      <c r="VSL3" t="s">
        <v>10500</v>
      </c>
      <c r="VSM3" t="s">
        <v>10501</v>
      </c>
      <c r="VSN3" t="s">
        <v>10502</v>
      </c>
      <c r="VSO3" t="s">
        <v>10503</v>
      </c>
      <c r="VSP3" t="s">
        <v>10504</v>
      </c>
      <c r="VSQ3" t="s">
        <v>10505</v>
      </c>
      <c r="VSR3" t="s">
        <v>10506</v>
      </c>
      <c r="VSS3" t="s">
        <v>10507</v>
      </c>
      <c r="VST3" t="s">
        <v>10508</v>
      </c>
      <c r="VSU3" t="s">
        <v>10509</v>
      </c>
      <c r="VSV3" t="s">
        <v>10510</v>
      </c>
      <c r="VSW3" t="s">
        <v>10511</v>
      </c>
      <c r="VSX3" t="s">
        <v>44</v>
      </c>
      <c r="VSY3" t="s">
        <v>10512</v>
      </c>
      <c r="VSZ3" t="s">
        <v>10513</v>
      </c>
      <c r="VTA3" t="s">
        <v>10514</v>
      </c>
      <c r="VTB3" t="s">
        <v>10515</v>
      </c>
      <c r="VTC3" t="s">
        <v>10516</v>
      </c>
      <c r="VTD3" t="s">
        <v>10517</v>
      </c>
      <c r="VTE3" t="s">
        <v>10518</v>
      </c>
      <c r="VTF3" t="s">
        <v>10519</v>
      </c>
      <c r="VTG3" t="s">
        <v>10520</v>
      </c>
      <c r="VTH3" t="s">
        <v>10521</v>
      </c>
      <c r="VTI3" t="s">
        <v>2074</v>
      </c>
      <c r="VTJ3" t="s">
        <v>10522</v>
      </c>
      <c r="VTK3" t="s">
        <v>10523</v>
      </c>
      <c r="VTL3" t="s">
        <v>10524</v>
      </c>
      <c r="VTM3" t="s">
        <v>10525</v>
      </c>
      <c r="VTN3" t="s">
        <v>10526</v>
      </c>
      <c r="VTO3" t="s">
        <v>10527</v>
      </c>
      <c r="VTP3" t="s">
        <v>10528</v>
      </c>
      <c r="VTQ3" t="s">
        <v>10526</v>
      </c>
      <c r="VTR3" t="s">
        <v>10529</v>
      </c>
      <c r="VTS3" t="s">
        <v>10530</v>
      </c>
      <c r="VTT3" t="s">
        <v>10531</v>
      </c>
      <c r="VTU3" t="s">
        <v>10526</v>
      </c>
      <c r="VTV3" t="s">
        <v>10532</v>
      </c>
      <c r="VTW3" t="s">
        <v>10533</v>
      </c>
      <c r="VTX3" t="s">
        <v>10534</v>
      </c>
      <c r="VTY3" t="s">
        <v>44</v>
      </c>
      <c r="VTZ3" t="s">
        <v>10535</v>
      </c>
      <c r="VUA3" t="s">
        <v>10536</v>
      </c>
      <c r="VUB3" t="s">
        <v>2074</v>
      </c>
      <c r="VUC3" t="s">
        <v>511</v>
      </c>
      <c r="VUD3" t="s">
        <v>10537</v>
      </c>
      <c r="VUE3" t="s">
        <v>10538</v>
      </c>
      <c r="VUF3" t="s">
        <v>10539</v>
      </c>
      <c r="VUG3" t="s">
        <v>10540</v>
      </c>
      <c r="VUH3" t="s">
        <v>10541</v>
      </c>
      <c r="VUI3" t="s">
        <v>10542</v>
      </c>
      <c r="VUJ3" t="s">
        <v>10543</v>
      </c>
      <c r="VUK3" t="s">
        <v>1511</v>
      </c>
      <c r="VUL3" t="s">
        <v>932</v>
      </c>
      <c r="VUM3" t="s">
        <v>10544</v>
      </c>
      <c r="VUN3" t="s">
        <v>10545</v>
      </c>
      <c r="VUO3" t="s">
        <v>10546</v>
      </c>
      <c r="VUP3" t="s">
        <v>10547</v>
      </c>
      <c r="VUQ3" t="s">
        <v>10548</v>
      </c>
      <c r="VUR3" t="s">
        <v>10549</v>
      </c>
      <c r="VUS3" t="s">
        <v>10550</v>
      </c>
      <c r="VUT3" t="s">
        <v>10551</v>
      </c>
      <c r="VUU3" t="s">
        <v>10552</v>
      </c>
      <c r="VUV3" t="s">
        <v>10553</v>
      </c>
      <c r="VUW3" t="s">
        <v>10554</v>
      </c>
      <c r="VUX3" t="s">
        <v>10555</v>
      </c>
      <c r="VUY3" t="s">
        <v>10556</v>
      </c>
      <c r="VUZ3" t="s">
        <v>10557</v>
      </c>
      <c r="VVA3" t="s">
        <v>10558</v>
      </c>
      <c r="VVB3" t="s">
        <v>10559</v>
      </c>
      <c r="VVC3" t="s">
        <v>10560</v>
      </c>
      <c r="VVD3" t="s">
        <v>10561</v>
      </c>
      <c r="VVE3" t="s">
        <v>10562</v>
      </c>
      <c r="VVF3" t="s">
        <v>10563</v>
      </c>
      <c r="VVG3" t="s">
        <v>10564</v>
      </c>
      <c r="VVH3" t="s">
        <v>10565</v>
      </c>
      <c r="VVI3" t="s">
        <v>598</v>
      </c>
      <c r="VVJ3" t="s">
        <v>1685</v>
      </c>
      <c r="VVK3" t="s">
        <v>10566</v>
      </c>
      <c r="VVL3" t="s">
        <v>10567</v>
      </c>
      <c r="VVM3" t="s">
        <v>10568</v>
      </c>
      <c r="VVN3" t="s">
        <v>10569</v>
      </c>
      <c r="VVO3" t="s">
        <v>10570</v>
      </c>
      <c r="VVP3" t="s">
        <v>10571</v>
      </c>
      <c r="VVQ3" t="s">
        <v>10050</v>
      </c>
      <c r="VVR3" t="s">
        <v>4467</v>
      </c>
      <c r="VVS3" t="s">
        <v>10572</v>
      </c>
      <c r="VVT3" t="s">
        <v>10573</v>
      </c>
      <c r="VVU3" t="s">
        <v>10574</v>
      </c>
      <c r="VVV3" t="s">
        <v>10575</v>
      </c>
      <c r="VVW3" t="s">
        <v>10576</v>
      </c>
      <c r="VVX3" t="s">
        <v>10577</v>
      </c>
      <c r="VVY3" t="s">
        <v>10578</v>
      </c>
      <c r="VVZ3" t="s">
        <v>10579</v>
      </c>
      <c r="VWA3" t="s">
        <v>10580</v>
      </c>
      <c r="VWB3" t="s">
        <v>44</v>
      </c>
      <c r="VWC3" t="s">
        <v>10581</v>
      </c>
      <c r="VWD3" t="s">
        <v>10582</v>
      </c>
      <c r="VWE3" t="s">
        <v>44</v>
      </c>
      <c r="VWF3" t="s">
        <v>10583</v>
      </c>
      <c r="VWG3" t="s">
        <v>10584</v>
      </c>
      <c r="VWH3" t="s">
        <v>44</v>
      </c>
      <c r="VWI3" t="s">
        <v>1933</v>
      </c>
      <c r="VWJ3" t="s">
        <v>10585</v>
      </c>
      <c r="VWK3" t="s">
        <v>10586</v>
      </c>
      <c r="VWL3" t="s">
        <v>10587</v>
      </c>
      <c r="VWM3" t="s">
        <v>10588</v>
      </c>
      <c r="VWN3" t="s">
        <v>10589</v>
      </c>
      <c r="VWO3" t="s">
        <v>10590</v>
      </c>
      <c r="VWP3" t="s">
        <v>10591</v>
      </c>
      <c r="VWQ3" t="s">
        <v>10592</v>
      </c>
      <c r="VWR3" t="s">
        <v>10593</v>
      </c>
      <c r="VWS3" t="s">
        <v>10594</v>
      </c>
      <c r="VWT3" t="s">
        <v>10595</v>
      </c>
      <c r="VWU3" t="s">
        <v>10596</v>
      </c>
      <c r="VWV3" t="s">
        <v>10597</v>
      </c>
      <c r="VWW3" t="s">
        <v>10598</v>
      </c>
      <c r="VWX3" t="s">
        <v>10599</v>
      </c>
      <c r="VWY3" t="s">
        <v>10600</v>
      </c>
      <c r="VWZ3" t="s">
        <v>10601</v>
      </c>
      <c r="VXA3" t="s">
        <v>10602</v>
      </c>
      <c r="VXB3" t="s">
        <v>10603</v>
      </c>
      <c r="VXC3" t="s">
        <v>10604</v>
      </c>
      <c r="VXD3" t="s">
        <v>10605</v>
      </c>
      <c r="VXE3" t="s">
        <v>10606</v>
      </c>
      <c r="VXF3" t="s">
        <v>10607</v>
      </c>
      <c r="VXG3" t="s">
        <v>10608</v>
      </c>
      <c r="VXH3" t="s">
        <v>10609</v>
      </c>
      <c r="VXI3" t="s">
        <v>10610</v>
      </c>
      <c r="VXJ3" t="s">
        <v>10611</v>
      </c>
      <c r="VXK3" t="s">
        <v>10612</v>
      </c>
      <c r="VXL3" t="s">
        <v>10613</v>
      </c>
      <c r="VXM3" t="s">
        <v>10614</v>
      </c>
      <c r="VXN3" t="s">
        <v>10615</v>
      </c>
      <c r="VXO3" t="s">
        <v>10616</v>
      </c>
      <c r="VXP3" t="s">
        <v>10617</v>
      </c>
      <c r="VXQ3" t="s">
        <v>10618</v>
      </c>
      <c r="VXR3" t="s">
        <v>10619</v>
      </c>
      <c r="VXS3" t="s">
        <v>5657</v>
      </c>
      <c r="VXT3" t="s">
        <v>10620</v>
      </c>
      <c r="VXU3" t="s">
        <v>44</v>
      </c>
      <c r="VXV3" t="s">
        <v>10621</v>
      </c>
      <c r="VXW3" t="s">
        <v>10622</v>
      </c>
      <c r="VXX3" t="s">
        <v>10623</v>
      </c>
      <c r="VXY3" t="s">
        <v>10624</v>
      </c>
      <c r="VXZ3" t="s">
        <v>10625</v>
      </c>
      <c r="VYA3" t="s">
        <v>10626</v>
      </c>
      <c r="VYB3" t="s">
        <v>10627</v>
      </c>
      <c r="VYC3" t="s">
        <v>10628</v>
      </c>
      <c r="VYD3" t="s">
        <v>44</v>
      </c>
      <c r="VYE3" t="s">
        <v>10629</v>
      </c>
      <c r="VYF3" t="s">
        <v>10630</v>
      </c>
      <c r="VYG3" t="s">
        <v>44</v>
      </c>
      <c r="VYH3" t="s">
        <v>125</v>
      </c>
      <c r="VYI3" t="s">
        <v>8832</v>
      </c>
      <c r="VYJ3" t="s">
        <v>511</v>
      </c>
      <c r="VYK3" t="s">
        <v>10631</v>
      </c>
      <c r="VYL3" t="s">
        <v>10632</v>
      </c>
      <c r="VYM3" t="s">
        <v>1882</v>
      </c>
      <c r="VYN3" t="s">
        <v>10633</v>
      </c>
      <c r="VYO3" t="s">
        <v>10634</v>
      </c>
      <c r="VYP3" t="s">
        <v>10635</v>
      </c>
      <c r="VYQ3" t="s">
        <v>10636</v>
      </c>
      <c r="VYR3" t="s">
        <v>10637</v>
      </c>
      <c r="VYS3" t="s">
        <v>10638</v>
      </c>
      <c r="VYT3" t="s">
        <v>10639</v>
      </c>
      <c r="VYU3" t="s">
        <v>10640</v>
      </c>
      <c r="VYV3" t="s">
        <v>10641</v>
      </c>
      <c r="VYW3" t="s">
        <v>10642</v>
      </c>
      <c r="VYX3" t="s">
        <v>10643</v>
      </c>
      <c r="VYY3" t="s">
        <v>10644</v>
      </c>
      <c r="VYZ3" t="s">
        <v>10188</v>
      </c>
      <c r="VZA3" t="s">
        <v>10645</v>
      </c>
      <c r="VZB3" t="s">
        <v>10646</v>
      </c>
      <c r="VZC3" t="s">
        <v>10647</v>
      </c>
      <c r="VZD3" t="s">
        <v>10648</v>
      </c>
      <c r="VZE3" t="s">
        <v>10649</v>
      </c>
      <c r="VZF3" t="s">
        <v>10650</v>
      </c>
      <c r="VZG3" t="s">
        <v>10651</v>
      </c>
      <c r="VZH3" t="s">
        <v>10188</v>
      </c>
      <c r="VZI3" t="s">
        <v>10652</v>
      </c>
      <c r="VZJ3" t="s">
        <v>10653</v>
      </c>
      <c r="VZK3" t="s">
        <v>10654</v>
      </c>
      <c r="VZL3" t="s">
        <v>2612</v>
      </c>
      <c r="VZM3" t="s">
        <v>10655</v>
      </c>
      <c r="VZN3" t="s">
        <v>10656</v>
      </c>
      <c r="VZO3" t="s">
        <v>10657</v>
      </c>
      <c r="VZP3" t="s">
        <v>10658</v>
      </c>
      <c r="VZQ3" t="s">
        <v>46</v>
      </c>
      <c r="VZR3" t="s">
        <v>10659</v>
      </c>
      <c r="VZS3" t="s">
        <v>10660</v>
      </c>
      <c r="VZT3" t="s">
        <v>10661</v>
      </c>
      <c r="VZU3" t="s">
        <v>10662</v>
      </c>
      <c r="VZV3" t="s">
        <v>10663</v>
      </c>
      <c r="VZW3" t="s">
        <v>10664</v>
      </c>
      <c r="VZX3" t="s">
        <v>10665</v>
      </c>
      <c r="VZY3" t="s">
        <v>10666</v>
      </c>
      <c r="VZZ3" t="s">
        <v>44</v>
      </c>
      <c r="WAA3" t="s">
        <v>10667</v>
      </c>
      <c r="WAB3" t="s">
        <v>10668</v>
      </c>
      <c r="WAC3" t="s">
        <v>10669</v>
      </c>
      <c r="WAD3" t="s">
        <v>10670</v>
      </c>
      <c r="WAE3" t="s">
        <v>10671</v>
      </c>
      <c r="WAF3" t="s">
        <v>44</v>
      </c>
      <c r="WAG3" t="s">
        <v>10672</v>
      </c>
      <c r="WAH3" t="s">
        <v>10673</v>
      </c>
      <c r="WAI3" t="s">
        <v>10674</v>
      </c>
      <c r="WAJ3" t="s">
        <v>10675</v>
      </c>
      <c r="WAK3" t="s">
        <v>10676</v>
      </c>
      <c r="WAL3" t="s">
        <v>10677</v>
      </c>
      <c r="WAM3" t="s">
        <v>10678</v>
      </c>
      <c r="WAN3" t="s">
        <v>10679</v>
      </c>
      <c r="WAO3" t="s">
        <v>10680</v>
      </c>
      <c r="WAP3" t="s">
        <v>10678</v>
      </c>
      <c r="WAQ3" t="s">
        <v>10681</v>
      </c>
      <c r="WAR3" t="s">
        <v>10682</v>
      </c>
      <c r="WAS3" t="s">
        <v>44</v>
      </c>
      <c r="WAT3" t="s">
        <v>10683</v>
      </c>
      <c r="WAU3" t="s">
        <v>44</v>
      </c>
      <c r="WAV3" t="s">
        <v>10684</v>
      </c>
      <c r="WAW3" t="s">
        <v>10685</v>
      </c>
      <c r="WAX3" t="s">
        <v>10686</v>
      </c>
      <c r="WAY3" t="s">
        <v>10687</v>
      </c>
      <c r="WAZ3" t="s">
        <v>1336</v>
      </c>
      <c r="WBA3" t="s">
        <v>10688</v>
      </c>
      <c r="WBB3" t="s">
        <v>5701</v>
      </c>
      <c r="WBC3" t="s">
        <v>10689</v>
      </c>
      <c r="WBD3" t="s">
        <v>44</v>
      </c>
      <c r="WBE3" t="s">
        <v>10690</v>
      </c>
      <c r="WBF3" t="s">
        <v>10691</v>
      </c>
      <c r="WBG3" t="s">
        <v>10692</v>
      </c>
      <c r="WBH3" t="s">
        <v>10693</v>
      </c>
      <c r="WBI3" t="s">
        <v>125</v>
      </c>
      <c r="WBJ3" t="s">
        <v>10050</v>
      </c>
      <c r="WBK3" t="s">
        <v>10694</v>
      </c>
      <c r="WBL3" t="s">
        <v>10695</v>
      </c>
      <c r="WBM3" t="s">
        <v>10696</v>
      </c>
      <c r="WBN3" t="s">
        <v>10697</v>
      </c>
      <c r="WBO3" t="s">
        <v>10698</v>
      </c>
      <c r="WBP3" t="s">
        <v>46</v>
      </c>
      <c r="WBQ3" t="s">
        <v>10699</v>
      </c>
      <c r="WBR3" t="s">
        <v>10700</v>
      </c>
      <c r="WBS3" t="s">
        <v>10701</v>
      </c>
      <c r="WBT3" t="s">
        <v>10702</v>
      </c>
      <c r="WBU3" t="s">
        <v>10703</v>
      </c>
      <c r="WBV3" t="s">
        <v>10704</v>
      </c>
      <c r="WBW3" t="s">
        <v>10705</v>
      </c>
      <c r="WBX3" t="s">
        <v>10706</v>
      </c>
      <c r="WBY3">
        <v>0</v>
      </c>
      <c r="WBZ3" t="s">
        <v>10707</v>
      </c>
      <c r="WCA3" t="s">
        <v>5094</v>
      </c>
      <c r="WCB3">
        <v>1</v>
      </c>
      <c r="WCC3" t="s">
        <v>10708</v>
      </c>
      <c r="WCD3" t="s">
        <v>5094</v>
      </c>
      <c r="WCE3">
        <v>0</v>
      </c>
      <c r="WCF3" t="s">
        <v>10709</v>
      </c>
      <c r="WCG3" t="s">
        <v>10710</v>
      </c>
      <c r="WCH3" t="e">
        <f ca="1">-Math.sin(e)</f>
        <v>#NAME?</v>
      </c>
      <c r="WCI3" t="s">
        <v>8631</v>
      </c>
      <c r="WCJ3" t="s">
        <v>10711</v>
      </c>
      <c r="WCK3" t="s">
        <v>10712</v>
      </c>
      <c r="WCL3" t="s">
        <v>8631</v>
      </c>
      <c r="WCM3" t="s">
        <v>5094</v>
      </c>
      <c r="WCN3">
        <v>0</v>
      </c>
      <c r="WCO3" t="s">
        <v>10709</v>
      </c>
      <c r="WCP3" t="s">
        <v>10713</v>
      </c>
      <c r="WCQ3" t="s">
        <v>125</v>
      </c>
      <c r="WCR3" t="s">
        <v>10714</v>
      </c>
      <c r="WCS3" t="s">
        <v>513</v>
      </c>
      <c r="WCT3" t="s">
        <v>10715</v>
      </c>
      <c r="WCU3" t="s">
        <v>10716</v>
      </c>
      <c r="WCV3" t="s">
        <v>10717</v>
      </c>
      <c r="WCW3" t="s">
        <v>10718</v>
      </c>
      <c r="WCX3" t="s">
        <v>10719</v>
      </c>
      <c r="WCY3" t="s">
        <v>10720</v>
      </c>
      <c r="WCZ3" t="s">
        <v>10721</v>
      </c>
      <c r="WDA3" t="s">
        <v>10722</v>
      </c>
      <c r="WDB3" t="s">
        <v>1383</v>
      </c>
      <c r="WDC3" t="s">
        <v>10723</v>
      </c>
      <c r="WDD3" t="s">
        <v>10724</v>
      </c>
      <c r="WDE3" t="s">
        <v>10725</v>
      </c>
      <c r="WDF3" t="s">
        <v>10726</v>
      </c>
      <c r="WDG3" t="s">
        <v>10727</v>
      </c>
      <c r="WDH3" t="s">
        <v>10722</v>
      </c>
      <c r="WDI3" t="s">
        <v>1383</v>
      </c>
      <c r="WDJ3" t="s">
        <v>10724</v>
      </c>
      <c r="WDK3" t="s">
        <v>10728</v>
      </c>
      <c r="WDL3" t="s">
        <v>10729</v>
      </c>
      <c r="WDM3" t="s">
        <v>10730</v>
      </c>
      <c r="WDN3" t="s">
        <v>10731</v>
      </c>
      <c r="WDO3" t="s">
        <v>10732</v>
      </c>
      <c r="WDP3" t="s">
        <v>1977</v>
      </c>
      <c r="WDQ3">
        <v>0</v>
      </c>
      <c r="WDR3">
        <v>0</v>
      </c>
      <c r="WDS3" t="s">
        <v>10733</v>
      </c>
      <c r="WDT3" t="s">
        <v>10734</v>
      </c>
      <c r="WDU3">
        <v>0</v>
      </c>
      <c r="WDV3">
        <v>0</v>
      </c>
      <c r="WDW3">
        <v>0</v>
      </c>
      <c r="WDX3">
        <v>0</v>
      </c>
      <c r="WDY3">
        <v>1</v>
      </c>
      <c r="WDZ3">
        <v>0</v>
      </c>
      <c r="WEA3" t="s">
        <v>10735</v>
      </c>
      <c r="WEB3" t="s">
        <v>10736</v>
      </c>
      <c r="WEC3">
        <v>0</v>
      </c>
      <c r="WED3" t="s">
        <v>10737</v>
      </c>
      <c r="WEE3">
        <v>0</v>
      </c>
      <c r="WEF3">
        <v>0</v>
      </c>
      <c r="WEG3">
        <v>0</v>
      </c>
      <c r="WEH3">
        <v>0</v>
      </c>
      <c r="WEI3">
        <v>1</v>
      </c>
      <c r="WEJ3">
        <v>0</v>
      </c>
      <c r="WEK3">
        <v>0</v>
      </c>
      <c r="WEL3">
        <v>0</v>
      </c>
      <c r="WEM3">
        <v>0</v>
      </c>
      <c r="WEN3">
        <v>1</v>
      </c>
      <c r="WEO3">
        <v>0</v>
      </c>
      <c r="WEP3">
        <v>0</v>
      </c>
      <c r="WEQ3">
        <v>0</v>
      </c>
      <c r="WER3">
        <v>0</v>
      </c>
      <c r="WES3" t="s">
        <v>10738</v>
      </c>
      <c r="WET3" t="s">
        <v>10739</v>
      </c>
      <c r="WEU3" t="s">
        <v>2615</v>
      </c>
      <c r="WEV3" t="s">
        <v>10740</v>
      </c>
      <c r="WEW3" t="s">
        <v>10741</v>
      </c>
      <c r="WEX3" t="s">
        <v>10742</v>
      </c>
      <c r="WEY3" t="s">
        <v>10743</v>
      </c>
      <c r="WEZ3" t="s">
        <v>10744</v>
      </c>
      <c r="WFA3" t="s">
        <v>10745</v>
      </c>
      <c r="WFB3" t="s">
        <v>10746</v>
      </c>
      <c r="WFC3" t="s">
        <v>10747</v>
      </c>
      <c r="WFD3" t="s">
        <v>10748</v>
      </c>
      <c r="WFE3" t="s">
        <v>10749</v>
      </c>
      <c r="WFF3" t="s">
        <v>10750</v>
      </c>
      <c r="WFG3" t="s">
        <v>10751</v>
      </c>
      <c r="WFH3" t="s">
        <v>10752</v>
      </c>
      <c r="WFI3" t="s">
        <v>10753</v>
      </c>
      <c r="WFJ3" t="s">
        <v>10754</v>
      </c>
      <c r="WFK3" t="s">
        <v>10755</v>
      </c>
      <c r="WFL3" t="s">
        <v>10756</v>
      </c>
      <c r="WFM3" t="s">
        <v>10757</v>
      </c>
      <c r="WFN3" t="s">
        <v>10758</v>
      </c>
      <c r="WFO3" t="s">
        <v>10759</v>
      </c>
      <c r="WFP3" t="s">
        <v>10760</v>
      </c>
      <c r="WFQ3" t="s">
        <v>44</v>
      </c>
      <c r="WFR3" t="s">
        <v>835</v>
      </c>
      <c r="WFS3" t="s">
        <v>10761</v>
      </c>
      <c r="WFT3" t="s">
        <v>10762</v>
      </c>
      <c r="WFU3" t="s">
        <v>126</v>
      </c>
      <c r="WFV3" t="s">
        <v>1503</v>
      </c>
      <c r="WFW3" t="s">
        <v>511</v>
      </c>
      <c r="WFX3" t="s">
        <v>48</v>
      </c>
      <c r="WFY3" t="s">
        <v>10763</v>
      </c>
      <c r="WFZ3" t="s">
        <v>431</v>
      </c>
      <c r="WGA3" t="s">
        <v>10764</v>
      </c>
      <c r="WGB3" t="s">
        <v>10765</v>
      </c>
      <c r="WGC3" t="s">
        <v>10766</v>
      </c>
      <c r="WGD3" t="s">
        <v>10767</v>
      </c>
      <c r="WGE3" t="s">
        <v>46</v>
      </c>
      <c r="WGF3" t="s">
        <v>1503</v>
      </c>
      <c r="WGG3" t="s">
        <v>511</v>
      </c>
      <c r="WGH3" t="s">
        <v>10768</v>
      </c>
      <c r="WGI3" t="s">
        <v>10769</v>
      </c>
      <c r="WGJ3" t="s">
        <v>10770</v>
      </c>
      <c r="WGK3" t="s">
        <v>10771</v>
      </c>
      <c r="WGL3" t="s">
        <v>10772</v>
      </c>
      <c r="WGM3" t="s">
        <v>10773</v>
      </c>
      <c r="WGN3">
        <v>0</v>
      </c>
      <c r="WGO3" t="s">
        <v>10774</v>
      </c>
      <c r="WGP3" t="s">
        <v>44</v>
      </c>
      <c r="WGQ3" t="s">
        <v>10775</v>
      </c>
      <c r="WGR3" t="s">
        <v>10776</v>
      </c>
      <c r="WGS3" t="s">
        <v>10777</v>
      </c>
      <c r="WGT3" t="s">
        <v>10778</v>
      </c>
      <c r="WGU3" t="s">
        <v>10779</v>
      </c>
      <c r="WGV3" t="s">
        <v>44</v>
      </c>
      <c r="WGW3" t="s">
        <v>10780</v>
      </c>
      <c r="WGX3" t="s">
        <v>49</v>
      </c>
      <c r="WGY3" t="s">
        <v>1882</v>
      </c>
      <c r="WGZ3" t="s">
        <v>10781</v>
      </c>
      <c r="WHA3" t="s">
        <v>2543</v>
      </c>
      <c r="WHB3" t="s">
        <v>10777</v>
      </c>
      <c r="WHC3" t="s">
        <v>10782</v>
      </c>
      <c r="WHD3" t="s">
        <v>10783</v>
      </c>
      <c r="WHE3" t="s">
        <v>10784</v>
      </c>
      <c r="WHF3" t="s">
        <v>44</v>
      </c>
      <c r="WHG3" t="s">
        <v>10785</v>
      </c>
      <c r="WHH3" t="s">
        <v>1503</v>
      </c>
      <c r="WHI3" t="s">
        <v>2000</v>
      </c>
      <c r="WHJ3" t="s">
        <v>10786</v>
      </c>
      <c r="WHK3" t="s">
        <v>10787</v>
      </c>
      <c r="WHL3" t="s">
        <v>10788</v>
      </c>
      <c r="WHM3" t="s">
        <v>10789</v>
      </c>
      <c r="WHN3" t="s">
        <v>10790</v>
      </c>
      <c r="WHO3" t="s">
        <v>10791</v>
      </c>
      <c r="WHP3" t="s">
        <v>126</v>
      </c>
      <c r="WHQ3" t="s">
        <v>10792</v>
      </c>
      <c r="WHR3" t="s">
        <v>47</v>
      </c>
      <c r="WHS3" t="s">
        <v>10793</v>
      </c>
      <c r="WHT3" t="s">
        <v>10794</v>
      </c>
      <c r="WHU3" t="s">
        <v>1352</v>
      </c>
      <c r="WHV3" t="s">
        <v>10795</v>
      </c>
      <c r="WHW3" t="s">
        <v>10796</v>
      </c>
      <c r="WHX3" t="s">
        <v>10797</v>
      </c>
      <c r="WHY3" t="s">
        <v>10798</v>
      </c>
      <c r="WHZ3" t="s">
        <v>10799</v>
      </c>
      <c r="WIA3" t="s">
        <v>44</v>
      </c>
      <c r="WIB3" t="s">
        <v>125</v>
      </c>
      <c r="WIC3" t="s">
        <v>10800</v>
      </c>
      <c r="WID3" t="s">
        <v>10801</v>
      </c>
      <c r="WIE3" t="s">
        <v>10802</v>
      </c>
      <c r="WIF3" t="s">
        <v>10803</v>
      </c>
      <c r="WIG3" t="s">
        <v>10804</v>
      </c>
      <c r="WIH3" t="s">
        <v>4509</v>
      </c>
      <c r="WII3" t="s">
        <v>10805</v>
      </c>
      <c r="WIJ3" t="s">
        <v>6180</v>
      </c>
      <c r="WIK3" t="s">
        <v>10806</v>
      </c>
      <c r="WIL3" t="s">
        <v>1352</v>
      </c>
      <c r="WIM3" t="s">
        <v>10807</v>
      </c>
      <c r="WIN3" t="s">
        <v>10808</v>
      </c>
      <c r="WIO3" t="s">
        <v>10809</v>
      </c>
      <c r="WIP3" t="s">
        <v>5431</v>
      </c>
      <c r="WIQ3" t="s">
        <v>47</v>
      </c>
      <c r="WIR3" t="s">
        <v>1309</v>
      </c>
      <c r="WIS3" t="s">
        <v>10810</v>
      </c>
      <c r="WIT3" t="s">
        <v>44</v>
      </c>
      <c r="WIU3" t="s">
        <v>10811</v>
      </c>
      <c r="WIV3" t="s">
        <v>10812</v>
      </c>
      <c r="WIW3" t="s">
        <v>44</v>
      </c>
      <c r="WIX3" t="s">
        <v>125</v>
      </c>
      <c r="WIY3" t="s">
        <v>10813</v>
      </c>
      <c r="WIZ3" t="s">
        <v>10814</v>
      </c>
      <c r="WJA3" t="s">
        <v>10815</v>
      </c>
      <c r="WJB3" t="s">
        <v>44</v>
      </c>
      <c r="WJC3" t="s">
        <v>333</v>
      </c>
      <c r="WJD3" t="s">
        <v>80</v>
      </c>
      <c r="WJE3" t="s">
        <v>10816</v>
      </c>
      <c r="WJF3" t="s">
        <v>10817</v>
      </c>
      <c r="WJG3" t="s">
        <v>388</v>
      </c>
      <c r="WJH3" t="s">
        <v>10818</v>
      </c>
      <c r="WJI3" t="s">
        <v>10819</v>
      </c>
      <c r="WJJ3" t="s">
        <v>10820</v>
      </c>
      <c r="WJK3" t="s">
        <v>10821</v>
      </c>
      <c r="WJL3" t="s">
        <v>10822</v>
      </c>
      <c r="WJM3" t="s">
        <v>10823</v>
      </c>
      <c r="WJN3" t="s">
        <v>10824</v>
      </c>
      <c r="WJO3" t="s">
        <v>10825</v>
      </c>
      <c r="WJP3" t="s">
        <v>10826</v>
      </c>
      <c r="WJQ3" t="s">
        <v>10827</v>
      </c>
      <c r="WJR3" t="s">
        <v>10828</v>
      </c>
      <c r="WJS3" t="s">
        <v>10829</v>
      </c>
      <c r="WJT3" t="s">
        <v>2612</v>
      </c>
      <c r="WJU3" t="s">
        <v>10830</v>
      </c>
      <c r="WJV3" t="s">
        <v>10831</v>
      </c>
      <c r="WJW3" t="s">
        <v>44</v>
      </c>
      <c r="WJX3" t="s">
        <v>10832</v>
      </c>
      <c r="WJY3" t="s">
        <v>10833</v>
      </c>
      <c r="WJZ3" t="s">
        <v>10834</v>
      </c>
      <c r="WKA3" t="s">
        <v>10835</v>
      </c>
      <c r="WKB3" t="s">
        <v>10836</v>
      </c>
      <c r="WKC3" t="s">
        <v>10837</v>
      </c>
      <c r="WKD3" t="s">
        <v>10838</v>
      </c>
      <c r="WKE3" t="s">
        <v>10839</v>
      </c>
      <c r="WKF3" t="s">
        <v>1494</v>
      </c>
      <c r="WKG3" t="s">
        <v>10840</v>
      </c>
      <c r="WKH3" t="s">
        <v>9722</v>
      </c>
      <c r="WKI3" t="s">
        <v>10841</v>
      </c>
      <c r="WKJ3" t="s">
        <v>44</v>
      </c>
      <c r="WKK3" t="s">
        <v>10842</v>
      </c>
      <c r="WKL3" t="s">
        <v>9673</v>
      </c>
      <c r="WKM3" t="s">
        <v>10843</v>
      </c>
      <c r="WKN3" t="s">
        <v>10844</v>
      </c>
      <c r="WKO3" t="s">
        <v>10845</v>
      </c>
      <c r="WKP3" t="s">
        <v>10846</v>
      </c>
      <c r="WKQ3" t="s">
        <v>10847</v>
      </c>
      <c r="WKR3" t="s">
        <v>10848</v>
      </c>
      <c r="WKS3" t="s">
        <v>10849</v>
      </c>
      <c r="WKT3" t="s">
        <v>10850</v>
      </c>
      <c r="WKU3" t="s">
        <v>6555</v>
      </c>
      <c r="WKV3" t="s">
        <v>10850</v>
      </c>
      <c r="WKW3" t="s">
        <v>10851</v>
      </c>
      <c r="WKX3" t="s">
        <v>10852</v>
      </c>
      <c r="WKY3" t="s">
        <v>672</v>
      </c>
      <c r="WKZ3" t="s">
        <v>10853</v>
      </c>
      <c r="WLA3" t="s">
        <v>10854</v>
      </c>
      <c r="WLB3" t="s">
        <v>10855</v>
      </c>
      <c r="WLC3" t="s">
        <v>10856</v>
      </c>
      <c r="WLD3" t="s">
        <v>10857</v>
      </c>
      <c r="WLE3" t="s">
        <v>10858</v>
      </c>
      <c r="WLF3" t="s">
        <v>10859</v>
      </c>
      <c r="WLG3" t="s">
        <v>10860</v>
      </c>
      <c r="WLH3" t="s">
        <v>10861</v>
      </c>
      <c r="WLI3" t="s">
        <v>10862</v>
      </c>
      <c r="WLJ3" t="s">
        <v>10863</v>
      </c>
      <c r="WLK3" t="s">
        <v>10864</v>
      </c>
      <c r="WLL3" t="s">
        <v>10865</v>
      </c>
      <c r="WLM3" t="s">
        <v>10866</v>
      </c>
      <c r="WLN3" t="s">
        <v>896</v>
      </c>
      <c r="WLO3" t="s">
        <v>310</v>
      </c>
      <c r="WLP3" t="s">
        <v>1308</v>
      </c>
      <c r="WLQ3" t="s">
        <v>1309</v>
      </c>
      <c r="WLR3" t="s">
        <v>10867</v>
      </c>
      <c r="WLS3" t="s">
        <v>10868</v>
      </c>
      <c r="WLT3" t="s">
        <v>10869</v>
      </c>
      <c r="WLU3" t="s">
        <v>10870</v>
      </c>
      <c r="WLV3" t="s">
        <v>10871</v>
      </c>
      <c r="WLW3" t="s">
        <v>10872</v>
      </c>
      <c r="WLX3" t="s">
        <v>10873</v>
      </c>
      <c r="WLY3" t="s">
        <v>10874</v>
      </c>
      <c r="WLZ3" t="s">
        <v>10875</v>
      </c>
      <c r="WMA3" t="s">
        <v>10876</v>
      </c>
      <c r="WMB3" t="s">
        <v>10877</v>
      </c>
      <c r="WMC3" t="s">
        <v>10878</v>
      </c>
      <c r="WMD3" t="s">
        <v>10879</v>
      </c>
      <c r="WME3" t="s">
        <v>10880</v>
      </c>
      <c r="WMF3" t="s">
        <v>10881</v>
      </c>
      <c r="WMG3" t="s">
        <v>44</v>
      </c>
      <c r="WMH3" t="s">
        <v>125</v>
      </c>
      <c r="WMI3" t="s">
        <v>3896</v>
      </c>
      <c r="WMJ3" t="s">
        <v>1503</v>
      </c>
      <c r="WMK3" t="s">
        <v>511</v>
      </c>
      <c r="WML3" t="s">
        <v>10882</v>
      </c>
      <c r="WMM3" t="s">
        <v>10883</v>
      </c>
      <c r="WMN3" t="s">
        <v>10884</v>
      </c>
      <c r="WMO3" t="s">
        <v>10885</v>
      </c>
      <c r="WMP3" t="s">
        <v>2543</v>
      </c>
      <c r="WMQ3" t="s">
        <v>10886</v>
      </c>
      <c r="WMR3" t="s">
        <v>10887</v>
      </c>
      <c r="WMS3" t="s">
        <v>10888</v>
      </c>
      <c r="WMT3" t="s">
        <v>10889</v>
      </c>
      <c r="WMU3" t="s">
        <v>10890</v>
      </c>
      <c r="WMV3" t="s">
        <v>10891</v>
      </c>
      <c r="WMW3" t="s">
        <v>10892</v>
      </c>
      <c r="WMX3" t="s">
        <v>10893</v>
      </c>
      <c r="WMY3" t="s">
        <v>10894</v>
      </c>
      <c r="WMZ3" t="s">
        <v>10050</v>
      </c>
      <c r="WNA3" t="s">
        <v>10895</v>
      </c>
      <c r="WNB3" t="s">
        <v>10896</v>
      </c>
      <c r="WNC3" t="s">
        <v>48</v>
      </c>
      <c r="WND3" t="s">
        <v>10897</v>
      </c>
      <c r="WNE3" t="s">
        <v>10898</v>
      </c>
      <c r="WNF3" t="s">
        <v>10899</v>
      </c>
      <c r="WNG3" t="s">
        <v>10900</v>
      </c>
      <c r="WNH3" t="s">
        <v>10901</v>
      </c>
      <c r="WNI3" t="s">
        <v>10902</v>
      </c>
      <c r="WNJ3" t="s">
        <v>10903</v>
      </c>
      <c r="WNK3" t="s">
        <v>10904</v>
      </c>
      <c r="WNL3" t="s">
        <v>10905</v>
      </c>
      <c r="WNM3" t="s">
        <v>44</v>
      </c>
      <c r="WNN3" t="s">
        <v>10906</v>
      </c>
      <c r="WNO3" t="s">
        <v>10907</v>
      </c>
      <c r="WNP3" t="s">
        <v>44</v>
      </c>
      <c r="WNQ3" t="s">
        <v>10908</v>
      </c>
      <c r="WNR3" t="s">
        <v>10909</v>
      </c>
      <c r="WNS3" t="s">
        <v>10910</v>
      </c>
      <c r="WNT3" t="s">
        <v>10911</v>
      </c>
      <c r="WNU3" t="s">
        <v>10912</v>
      </c>
      <c r="WNV3" t="s">
        <v>10913</v>
      </c>
      <c r="WNW3" t="s">
        <v>10914</v>
      </c>
      <c r="WNX3" t="s">
        <v>10915</v>
      </c>
      <c r="WNY3" t="s">
        <v>10916</v>
      </c>
      <c r="WNZ3" t="s">
        <v>1411</v>
      </c>
      <c r="WOA3" t="s">
        <v>10917</v>
      </c>
      <c r="WOB3" t="s">
        <v>10918</v>
      </c>
      <c r="WOC3" t="s">
        <v>10919</v>
      </c>
      <c r="WOD3" t="s">
        <v>10920</v>
      </c>
      <c r="WOE3" t="s">
        <v>10921</v>
      </c>
      <c r="WOF3" t="s">
        <v>44</v>
      </c>
      <c r="WOG3" t="s">
        <v>835</v>
      </c>
      <c r="WOH3" t="s">
        <v>10922</v>
      </c>
      <c r="WOI3" t="s">
        <v>10923</v>
      </c>
      <c r="WOJ3" t="s">
        <v>10924</v>
      </c>
      <c r="WOK3" t="s">
        <v>10925</v>
      </c>
      <c r="WOL3" t="s">
        <v>10926</v>
      </c>
      <c r="WOM3" t="s">
        <v>10927</v>
      </c>
      <c r="WON3" t="s">
        <v>10928</v>
      </c>
      <c r="WOO3" t="s">
        <v>10929</v>
      </c>
      <c r="WOP3" t="s">
        <v>10930</v>
      </c>
      <c r="WOQ3" t="s">
        <v>10931</v>
      </c>
      <c r="WOR3" t="s">
        <v>10932</v>
      </c>
      <c r="WOS3" t="s">
        <v>10933</v>
      </c>
      <c r="WOT3" t="s">
        <v>44</v>
      </c>
      <c r="WOU3" t="s">
        <v>243</v>
      </c>
      <c r="WOV3" t="s">
        <v>10934</v>
      </c>
      <c r="WOW3" t="s">
        <v>10935</v>
      </c>
      <c r="WOX3" t="s">
        <v>44</v>
      </c>
      <c r="WOY3" t="s">
        <v>125</v>
      </c>
      <c r="WOZ3" t="s">
        <v>126</v>
      </c>
      <c r="WPA3" t="s">
        <v>8832</v>
      </c>
      <c r="WPB3" t="s">
        <v>10936</v>
      </c>
      <c r="WPC3" t="s">
        <v>10937</v>
      </c>
      <c r="WPD3" t="s">
        <v>10938</v>
      </c>
      <c r="WPE3" t="s">
        <v>10939</v>
      </c>
      <c r="WPF3" t="s">
        <v>10940</v>
      </c>
      <c r="WPG3" t="s">
        <v>10941</v>
      </c>
      <c r="WPH3" t="s">
        <v>10942</v>
      </c>
      <c r="WPI3" t="s">
        <v>10943</v>
      </c>
      <c r="WPJ3" t="s">
        <v>10944</v>
      </c>
      <c r="WPK3" t="s">
        <v>10945</v>
      </c>
      <c r="WPL3" t="s">
        <v>3919</v>
      </c>
      <c r="WPM3" t="s">
        <v>10946</v>
      </c>
      <c r="WPN3" t="s">
        <v>10947</v>
      </c>
      <c r="WPO3" t="s">
        <v>10948</v>
      </c>
      <c r="WPP3" t="s">
        <v>10949</v>
      </c>
      <c r="WPQ3" t="s">
        <v>10950</v>
      </c>
      <c r="WPR3" t="s">
        <v>10951</v>
      </c>
      <c r="WPS3" t="s">
        <v>10952</v>
      </c>
      <c r="WPT3" t="s">
        <v>10953</v>
      </c>
      <c r="WPU3" t="s">
        <v>10954</v>
      </c>
      <c r="WPV3" t="s">
        <v>10937</v>
      </c>
      <c r="WPW3" t="s">
        <v>10938</v>
      </c>
      <c r="WPX3" t="s">
        <v>10955</v>
      </c>
      <c r="WPY3" t="s">
        <v>10956</v>
      </c>
      <c r="WPZ3" t="s">
        <v>10957</v>
      </c>
      <c r="WQA3" t="s">
        <v>10937</v>
      </c>
      <c r="WQB3" t="s">
        <v>10938</v>
      </c>
      <c r="WQC3" t="s">
        <v>10958</v>
      </c>
      <c r="WQD3" t="s">
        <v>10959</v>
      </c>
      <c r="WQE3" t="s">
        <v>10960</v>
      </c>
      <c r="WQF3" t="s">
        <v>10961</v>
      </c>
      <c r="WQG3" t="s">
        <v>10962</v>
      </c>
      <c r="WQH3" t="s">
        <v>10963</v>
      </c>
      <c r="WQI3" t="s">
        <v>10964</v>
      </c>
      <c r="WQJ3" t="s">
        <v>10965</v>
      </c>
      <c r="WQK3" t="s">
        <v>10966</v>
      </c>
      <c r="WQL3" t="s">
        <v>10967</v>
      </c>
      <c r="WQM3" t="s">
        <v>10968</v>
      </c>
      <c r="WQN3" t="s">
        <v>10969</v>
      </c>
      <c r="WQO3" t="s">
        <v>10963</v>
      </c>
      <c r="WQP3" t="s">
        <v>10970</v>
      </c>
      <c r="WQQ3" t="s">
        <v>10971</v>
      </c>
      <c r="WQR3" t="s">
        <v>10972</v>
      </c>
      <c r="WQS3" t="s">
        <v>10973</v>
      </c>
      <c r="WQT3" t="s">
        <v>10974</v>
      </c>
      <c r="WQU3" t="s">
        <v>10975</v>
      </c>
      <c r="WQV3" t="s">
        <v>44</v>
      </c>
      <c r="WQW3" t="s">
        <v>10976</v>
      </c>
      <c r="WQX3" t="s">
        <v>2617</v>
      </c>
      <c r="WQY3" t="s">
        <v>6643</v>
      </c>
      <c r="WQZ3" t="s">
        <v>2982</v>
      </c>
      <c r="WRA3" t="s">
        <v>10977</v>
      </c>
      <c r="WRB3" t="s">
        <v>10978</v>
      </c>
      <c r="WRC3" t="s">
        <v>10979</v>
      </c>
      <c r="WRD3" t="s">
        <v>10980</v>
      </c>
      <c r="WRE3" t="s">
        <v>1336</v>
      </c>
      <c r="WRF3" t="s">
        <v>10981</v>
      </c>
      <c r="WRG3" t="s">
        <v>10982</v>
      </c>
      <c r="WRH3" t="s">
        <v>10983</v>
      </c>
      <c r="WRI3" t="s">
        <v>10984</v>
      </c>
      <c r="WRJ3" t="s">
        <v>44</v>
      </c>
      <c r="WRK3" t="s">
        <v>125</v>
      </c>
      <c r="WRL3" t="s">
        <v>10985</v>
      </c>
      <c r="WRM3" t="s">
        <v>10986</v>
      </c>
      <c r="WRN3" t="s">
        <v>10987</v>
      </c>
      <c r="WRO3" t="s">
        <v>10988</v>
      </c>
      <c r="WRP3" t="s">
        <v>10989</v>
      </c>
      <c r="WRQ3" t="s">
        <v>10990</v>
      </c>
      <c r="WRR3" t="s">
        <v>10991</v>
      </c>
      <c r="WRS3" t="s">
        <v>44</v>
      </c>
      <c r="WRT3" t="s">
        <v>10992</v>
      </c>
      <c r="WRU3" t="s">
        <v>10993</v>
      </c>
      <c r="WRV3" t="s">
        <v>10994</v>
      </c>
      <c r="WRW3" t="s">
        <v>10995</v>
      </c>
      <c r="WRX3" t="s">
        <v>10996</v>
      </c>
      <c r="WRY3" t="s">
        <v>10997</v>
      </c>
      <c r="WRZ3" t="s">
        <v>10998</v>
      </c>
      <c r="WSA3" t="s">
        <v>3919</v>
      </c>
      <c r="WSB3" t="s">
        <v>10999</v>
      </c>
      <c r="WSC3" t="s">
        <v>11000</v>
      </c>
      <c r="WSD3" t="s">
        <v>44</v>
      </c>
      <c r="WSE3" t="s">
        <v>835</v>
      </c>
      <c r="WSF3" t="s">
        <v>9959</v>
      </c>
      <c r="WSG3" t="s">
        <v>11001</v>
      </c>
      <c r="WSH3" t="s">
        <v>11002</v>
      </c>
      <c r="WSI3" t="s">
        <v>11003</v>
      </c>
      <c r="WSJ3" t="s">
        <v>11004</v>
      </c>
      <c r="WSK3" t="s">
        <v>11005</v>
      </c>
      <c r="WSL3" t="s">
        <v>11006</v>
      </c>
      <c r="WSM3" t="s">
        <v>11007</v>
      </c>
      <c r="WSN3" t="s">
        <v>44</v>
      </c>
      <c r="WSO3" t="s">
        <v>11008</v>
      </c>
      <c r="WSP3" t="s">
        <v>1503</v>
      </c>
      <c r="WSQ3" t="s">
        <v>5823</v>
      </c>
      <c r="WSR3" t="s">
        <v>11009</v>
      </c>
      <c r="WSS3" t="s">
        <v>4693</v>
      </c>
      <c r="WST3" t="s">
        <v>11010</v>
      </c>
      <c r="WSU3" t="s">
        <v>11011</v>
      </c>
      <c r="WSV3" t="s">
        <v>11012</v>
      </c>
      <c r="WSW3" t="s">
        <v>11013</v>
      </c>
      <c r="WSX3" t="s">
        <v>11014</v>
      </c>
      <c r="WSY3" t="s">
        <v>11015</v>
      </c>
      <c r="WSZ3" t="s">
        <v>11016</v>
      </c>
      <c r="WTA3" t="s">
        <v>11017</v>
      </c>
      <c r="WTB3" t="s">
        <v>11018</v>
      </c>
      <c r="WTC3" t="s">
        <v>11019</v>
      </c>
      <c r="WTD3" t="s">
        <v>11020</v>
      </c>
      <c r="WTE3" t="s">
        <v>11021</v>
      </c>
      <c r="WTF3" t="s">
        <v>11022</v>
      </c>
      <c r="WTG3" t="s">
        <v>11023</v>
      </c>
      <c r="WTH3" t="s">
        <v>11024</v>
      </c>
      <c r="WTI3" t="s">
        <v>11025</v>
      </c>
      <c r="WTJ3" t="s">
        <v>11026</v>
      </c>
      <c r="WTK3" t="s">
        <v>6201</v>
      </c>
      <c r="WTL3" t="s">
        <v>11027</v>
      </c>
      <c r="WTM3" t="s">
        <v>11028</v>
      </c>
      <c r="WTN3" t="s">
        <v>11029</v>
      </c>
      <c r="WTO3" t="s">
        <v>11030</v>
      </c>
      <c r="WTP3" t="s">
        <v>44</v>
      </c>
      <c r="WTQ3" t="s">
        <v>45</v>
      </c>
      <c r="WTR3" t="s">
        <v>4467</v>
      </c>
      <c r="WTS3" t="s">
        <v>11031</v>
      </c>
      <c r="WTT3" t="s">
        <v>11032</v>
      </c>
      <c r="WTU3" t="s">
        <v>11033</v>
      </c>
      <c r="WTV3" t="s">
        <v>11034</v>
      </c>
      <c r="WTW3" t="s">
        <v>11035</v>
      </c>
      <c r="WTX3" t="s">
        <v>11036</v>
      </c>
      <c r="WTY3" t="s">
        <v>11037</v>
      </c>
      <c r="WTZ3" t="s">
        <v>10050</v>
      </c>
      <c r="WUA3" t="s">
        <v>11038</v>
      </c>
      <c r="WUB3" t="s">
        <v>11039</v>
      </c>
      <c r="WUC3" t="s">
        <v>11040</v>
      </c>
      <c r="WUD3" t="s">
        <v>11041</v>
      </c>
      <c r="WUE3" t="s">
        <v>11042</v>
      </c>
      <c r="WUF3" t="s">
        <v>11043</v>
      </c>
      <c r="WUG3" t="s">
        <v>11044</v>
      </c>
      <c r="WUH3" t="s">
        <v>11045</v>
      </c>
      <c r="WUI3" t="s">
        <v>11046</v>
      </c>
      <c r="WUJ3" t="s">
        <v>11047</v>
      </c>
      <c r="WUK3" t="s">
        <v>11048</v>
      </c>
      <c r="WUL3" t="s">
        <v>11049</v>
      </c>
      <c r="WUM3" t="s">
        <v>10048</v>
      </c>
      <c r="WUN3" t="s">
        <v>11050</v>
      </c>
      <c r="WUO3" t="s">
        <v>44</v>
      </c>
      <c r="WUP3" t="s">
        <v>7715</v>
      </c>
      <c r="WUQ3" t="s">
        <v>11051</v>
      </c>
      <c r="WUR3" t="s">
        <v>11052</v>
      </c>
      <c r="WUS3" t="s">
        <v>11053</v>
      </c>
      <c r="WUT3" t="s">
        <v>11054</v>
      </c>
      <c r="WUU3" t="s">
        <v>11055</v>
      </c>
      <c r="WUV3" t="s">
        <v>11056</v>
      </c>
      <c r="WUW3" t="s">
        <v>11057</v>
      </c>
      <c r="WUX3" t="s">
        <v>11058</v>
      </c>
      <c r="WUY3" t="s">
        <v>11059</v>
      </c>
      <c r="WUZ3" t="s">
        <v>11060</v>
      </c>
      <c r="WVA3" t="s">
        <v>11061</v>
      </c>
      <c r="WVB3" t="s">
        <v>11062</v>
      </c>
      <c r="WVC3" t="s">
        <v>11063</v>
      </c>
      <c r="WVD3" t="s">
        <v>11064</v>
      </c>
      <c r="WVE3" t="s">
        <v>11065</v>
      </c>
      <c r="WVF3" t="s">
        <v>11066</v>
      </c>
      <c r="WVG3" t="s">
        <v>11067</v>
      </c>
      <c r="WVH3" t="s">
        <v>11068</v>
      </c>
      <c r="WVI3" t="s">
        <v>11069</v>
      </c>
      <c r="WVJ3" t="s">
        <v>11070</v>
      </c>
      <c r="WVK3" t="s">
        <v>11071</v>
      </c>
      <c r="WVL3" t="s">
        <v>11072</v>
      </c>
      <c r="WVM3" t="s">
        <v>44</v>
      </c>
      <c r="WVN3" t="s">
        <v>835</v>
      </c>
      <c r="WVO3" t="s">
        <v>11073</v>
      </c>
      <c r="WVP3" t="s">
        <v>125</v>
      </c>
      <c r="WVQ3" t="s">
        <v>47</v>
      </c>
      <c r="WVR3" t="s">
        <v>6498</v>
      </c>
      <c r="WVS3" t="s">
        <v>11074</v>
      </c>
      <c r="WVT3" t="s">
        <v>11075</v>
      </c>
      <c r="WVU3" t="s">
        <v>11076</v>
      </c>
      <c r="WVV3" t="s">
        <v>11077</v>
      </c>
      <c r="WVW3" t="s">
        <v>125</v>
      </c>
      <c r="WVX3" t="s">
        <v>11078</v>
      </c>
      <c r="WVY3" t="s">
        <v>11079</v>
      </c>
      <c r="WVZ3" t="s">
        <v>11080</v>
      </c>
      <c r="WWA3">
        <v>0</v>
      </c>
      <c r="WWB3" t="s">
        <v>9847</v>
      </c>
      <c r="WWC3" t="s">
        <v>11081</v>
      </c>
      <c r="WWD3" t="s">
        <v>11082</v>
      </c>
      <c r="WWE3" t="s">
        <v>11083</v>
      </c>
      <c r="WWF3" t="s">
        <v>11084</v>
      </c>
      <c r="WWG3">
        <v>0</v>
      </c>
      <c r="WWH3" t="s">
        <v>11085</v>
      </c>
      <c r="WWI3" t="s">
        <v>11086</v>
      </c>
      <c r="WWJ3" t="s">
        <v>11082</v>
      </c>
      <c r="WWK3" t="s">
        <v>11087</v>
      </c>
      <c r="WWL3" t="s">
        <v>11088</v>
      </c>
      <c r="WWM3">
        <v>1</v>
      </c>
      <c r="WWN3" t="s">
        <v>2615</v>
      </c>
      <c r="WWO3" t="s">
        <v>11089</v>
      </c>
      <c r="WWP3" t="s">
        <v>11090</v>
      </c>
      <c r="WWQ3" t="s">
        <v>850</v>
      </c>
      <c r="WWR3" t="s">
        <v>11091</v>
      </c>
      <c r="WWS3" t="s">
        <v>850</v>
      </c>
      <c r="WWT3" t="s">
        <v>11092</v>
      </c>
      <c r="WWU3" t="s">
        <v>11093</v>
      </c>
      <c r="WWV3" t="s">
        <v>125</v>
      </c>
      <c r="WWW3" t="s">
        <v>11094</v>
      </c>
      <c r="WWX3" t="s">
        <v>11095</v>
      </c>
      <c r="WWY3" t="s">
        <v>7591</v>
      </c>
      <c r="WWZ3" t="s">
        <v>11083</v>
      </c>
      <c r="WXA3" t="s">
        <v>11096</v>
      </c>
      <c r="WXB3" t="s">
        <v>11097</v>
      </c>
      <c r="WXC3">
        <v>0</v>
      </c>
      <c r="WXD3" t="s">
        <v>11085</v>
      </c>
      <c r="WXE3" t="s">
        <v>11098</v>
      </c>
      <c r="WXF3" t="s">
        <v>125</v>
      </c>
      <c r="WXG3" t="s">
        <v>11099</v>
      </c>
      <c r="WXH3" t="s">
        <v>125</v>
      </c>
      <c r="WXI3" t="s">
        <v>11100</v>
      </c>
      <c r="WXJ3" t="s">
        <v>11101</v>
      </c>
      <c r="WXK3" t="s">
        <v>11102</v>
      </c>
      <c r="WXL3" t="s">
        <v>11103</v>
      </c>
      <c r="WXM3" t="s">
        <v>11104</v>
      </c>
      <c r="WXN3" t="s">
        <v>11105</v>
      </c>
      <c r="WXO3" t="s">
        <v>44</v>
      </c>
      <c r="WXP3" t="s">
        <v>11106</v>
      </c>
      <c r="WXQ3">
        <v>0</v>
      </c>
      <c r="WXR3">
        <v>0</v>
      </c>
      <c r="WXS3" t="s">
        <v>11107</v>
      </c>
      <c r="WXT3" t="s">
        <v>11108</v>
      </c>
      <c r="WXU3" t="s">
        <v>44</v>
      </c>
      <c r="WXV3" t="s">
        <v>11109</v>
      </c>
      <c r="WXW3" t="s">
        <v>4046</v>
      </c>
      <c r="WXX3" t="s">
        <v>2538</v>
      </c>
      <c r="WXY3" t="s">
        <v>11110</v>
      </c>
      <c r="WXZ3" t="s">
        <v>11111</v>
      </c>
      <c r="WYA3" t="s">
        <v>11112</v>
      </c>
      <c r="WYB3" t="s">
        <v>11113</v>
      </c>
      <c r="WYC3" t="s">
        <v>11114</v>
      </c>
      <c r="WYD3" t="s">
        <v>11115</v>
      </c>
      <c r="WYE3" t="s">
        <v>11116</v>
      </c>
      <c r="WYF3" t="s">
        <v>44</v>
      </c>
      <c r="WYG3" t="s">
        <v>333</v>
      </c>
      <c r="WYH3" t="s">
        <v>836</v>
      </c>
      <c r="WYI3" t="s">
        <v>11117</v>
      </c>
      <c r="WYJ3" t="s">
        <v>11118</v>
      </c>
      <c r="WYK3" t="s">
        <v>11119</v>
      </c>
      <c r="WYL3" t="s">
        <v>11120</v>
      </c>
      <c r="WYM3" t="s">
        <v>125</v>
      </c>
      <c r="WYN3" t="s">
        <v>11121</v>
      </c>
      <c r="WYO3" t="s">
        <v>11122</v>
      </c>
      <c r="WYP3" t="s">
        <v>11123</v>
      </c>
      <c r="WYQ3" t="s">
        <v>11124</v>
      </c>
      <c r="WYR3" t="s">
        <v>11125</v>
      </c>
      <c r="WYS3" t="s">
        <v>10614</v>
      </c>
      <c r="WYT3" t="s">
        <v>11126</v>
      </c>
      <c r="WYU3" t="s">
        <v>11127</v>
      </c>
      <c r="WYV3" t="s">
        <v>11128</v>
      </c>
      <c r="WYW3" t="s">
        <v>11129</v>
      </c>
      <c r="WYX3" t="s">
        <v>4889</v>
      </c>
      <c r="WYY3" t="s">
        <v>11130</v>
      </c>
      <c r="WYZ3" t="s">
        <v>44</v>
      </c>
      <c r="WZA3" t="s">
        <v>2040</v>
      </c>
      <c r="WZB3" t="s">
        <v>1503</v>
      </c>
      <c r="WZC3" t="s">
        <v>511</v>
      </c>
      <c r="WZD3" t="s">
        <v>48</v>
      </c>
      <c r="WZE3" t="s">
        <v>11131</v>
      </c>
      <c r="WZF3" t="s">
        <v>11132</v>
      </c>
      <c r="WZG3" t="s">
        <v>11133</v>
      </c>
      <c r="WZH3" t="s">
        <v>11134</v>
      </c>
      <c r="WZI3" t="s">
        <v>11135</v>
      </c>
      <c r="WZJ3" t="s">
        <v>11136</v>
      </c>
      <c r="WZK3" t="s">
        <v>11137</v>
      </c>
      <c r="WZL3" t="s">
        <v>11138</v>
      </c>
      <c r="WZM3" t="s">
        <v>11139</v>
      </c>
      <c r="WZN3" t="s">
        <v>11140</v>
      </c>
      <c r="WZO3" t="s">
        <v>11141</v>
      </c>
      <c r="WZP3" t="s">
        <v>1503</v>
      </c>
      <c r="WZQ3" t="s">
        <v>11142</v>
      </c>
      <c r="WZR3" t="s">
        <v>2615</v>
      </c>
      <c r="WZS3" t="s">
        <v>11143</v>
      </c>
      <c r="WZT3" t="s">
        <v>11144</v>
      </c>
      <c r="WZU3" t="s">
        <v>11145</v>
      </c>
      <c r="WZV3" t="s">
        <v>11146</v>
      </c>
      <c r="WZW3" t="s">
        <v>11147</v>
      </c>
      <c r="WZX3" t="s">
        <v>11148</v>
      </c>
      <c r="WZY3" t="s">
        <v>11149</v>
      </c>
      <c r="WZZ3" t="s">
        <v>11150</v>
      </c>
      <c r="XAA3" t="s">
        <v>1308</v>
      </c>
      <c r="XAB3" t="s">
        <v>1309</v>
      </c>
      <c r="XAC3" t="s">
        <v>11151</v>
      </c>
      <c r="XAD3" t="s">
        <v>11152</v>
      </c>
      <c r="XAE3" t="s">
        <v>11153</v>
      </c>
      <c r="XAF3" t="s">
        <v>11154</v>
      </c>
      <c r="XAG3" t="s">
        <v>11155</v>
      </c>
      <c r="XAH3" t="s">
        <v>11156</v>
      </c>
      <c r="XAI3" t="s">
        <v>11157</v>
      </c>
      <c r="XAJ3" t="s">
        <v>11158</v>
      </c>
      <c r="XAK3" t="s">
        <v>11159</v>
      </c>
      <c r="XAL3" t="s">
        <v>11160</v>
      </c>
      <c r="XAM3" t="s">
        <v>11161</v>
      </c>
      <c r="XAN3" t="s">
        <v>11162</v>
      </c>
      <c r="XAO3" t="s">
        <v>11163</v>
      </c>
      <c r="XAP3" t="s">
        <v>1503</v>
      </c>
      <c r="XAQ3" t="s">
        <v>10123</v>
      </c>
      <c r="XAR3" t="s">
        <v>46</v>
      </c>
      <c r="XAS3" t="s">
        <v>11164</v>
      </c>
      <c r="XAT3" t="s">
        <v>11165</v>
      </c>
      <c r="XAU3" t="s">
        <v>11166</v>
      </c>
      <c r="XAV3" t="s">
        <v>11167</v>
      </c>
      <c r="XAW3" t="s">
        <v>11168</v>
      </c>
      <c r="XAX3" t="s">
        <v>11169</v>
      </c>
      <c r="XAY3" t="s">
        <v>11170</v>
      </c>
      <c r="XAZ3" t="s">
        <v>11171</v>
      </c>
      <c r="XBA3" t="s">
        <v>11172</v>
      </c>
      <c r="XBB3" t="s">
        <v>11173</v>
      </c>
      <c r="XBC3" t="s">
        <v>11174</v>
      </c>
      <c r="XBD3" t="s">
        <v>11175</v>
      </c>
      <c r="XBE3" t="s">
        <v>11176</v>
      </c>
      <c r="XBF3" t="s">
        <v>11177</v>
      </c>
      <c r="XBG3" t="s">
        <v>11178</v>
      </c>
      <c r="XBH3" t="s">
        <v>11179</v>
      </c>
      <c r="XBI3" t="s">
        <v>11180</v>
      </c>
      <c r="XBJ3" t="s">
        <v>11181</v>
      </c>
      <c r="XBK3" t="s">
        <v>11182</v>
      </c>
      <c r="XBL3" t="s">
        <v>11183</v>
      </c>
      <c r="XBM3" t="s">
        <v>11184</v>
      </c>
      <c r="XBN3" t="s">
        <v>932</v>
      </c>
      <c r="XBO3" t="s">
        <v>11185</v>
      </c>
      <c r="XBP3" t="s">
        <v>11186</v>
      </c>
      <c r="XBQ3" t="s">
        <v>11187</v>
      </c>
      <c r="XBR3" t="s">
        <v>11188</v>
      </c>
      <c r="XBS3" t="s">
        <v>11189</v>
      </c>
      <c r="XBT3" t="s">
        <v>11190</v>
      </c>
      <c r="XBU3" t="s">
        <v>515</v>
      </c>
      <c r="XBV3" t="s">
        <v>11191</v>
      </c>
      <c r="XBW3" t="s">
        <v>11192</v>
      </c>
      <c r="XBX3" t="s">
        <v>11193</v>
      </c>
      <c r="XBY3" t="s">
        <v>11194</v>
      </c>
      <c r="XBZ3" t="s">
        <v>11195</v>
      </c>
      <c r="XCA3" t="s">
        <v>11196</v>
      </c>
      <c r="XCB3" t="s">
        <v>11197</v>
      </c>
      <c r="XCC3" t="s">
        <v>11198</v>
      </c>
      <c r="XCD3" t="s">
        <v>11023</v>
      </c>
      <c r="XCE3" t="s">
        <v>11199</v>
      </c>
      <c r="XCF3" t="s">
        <v>11200</v>
      </c>
      <c r="XCG3" t="s">
        <v>11201</v>
      </c>
      <c r="XCH3" t="s">
        <v>5693</v>
      </c>
      <c r="XCI3" t="s">
        <v>11202</v>
      </c>
      <c r="XCJ3" t="s">
        <v>11203</v>
      </c>
      <c r="XCK3" t="s">
        <v>11204</v>
      </c>
      <c r="XCL3" t="s">
        <v>11205</v>
      </c>
      <c r="XCM3" t="s">
        <v>11206</v>
      </c>
      <c r="XCN3" t="s">
        <v>11207</v>
      </c>
      <c r="XCO3" t="s">
        <v>11208</v>
      </c>
      <c r="XCP3" t="s">
        <v>11209</v>
      </c>
      <c r="XCQ3" t="s">
        <v>11210</v>
      </c>
      <c r="XCR3" t="s">
        <v>11211</v>
      </c>
      <c r="XCS3" t="s">
        <v>11212</v>
      </c>
      <c r="XCT3" t="s">
        <v>11213</v>
      </c>
      <c r="XCU3" t="s">
        <v>3206</v>
      </c>
      <c r="XCV3" t="s">
        <v>11214</v>
      </c>
      <c r="XCW3" t="s">
        <v>11215</v>
      </c>
      <c r="XCX3" t="s">
        <v>3206</v>
      </c>
      <c r="XCY3" t="s">
        <v>11216</v>
      </c>
      <c r="XCZ3" t="s">
        <v>11217</v>
      </c>
      <c r="XDA3" t="s">
        <v>11218</v>
      </c>
      <c r="XDB3" t="s">
        <v>11219</v>
      </c>
      <c r="XDC3" t="s">
        <v>11220</v>
      </c>
      <c r="XDD3" t="s">
        <v>11221</v>
      </c>
      <c r="XDE3" t="s">
        <v>11222</v>
      </c>
      <c r="XDF3" t="s">
        <v>11223</v>
      </c>
      <c r="XDG3" t="s">
        <v>1882</v>
      </c>
      <c r="XDH3" t="s">
        <v>11224</v>
      </c>
      <c r="XDI3" t="s">
        <v>11225</v>
      </c>
      <c r="XDJ3" t="s">
        <v>11226</v>
      </c>
      <c r="XDK3" t="s">
        <v>11227</v>
      </c>
      <c r="XDL3" t="s">
        <v>11228</v>
      </c>
      <c r="XDM3" t="s">
        <v>11229</v>
      </c>
      <c r="XDN3" t="s">
        <v>11230</v>
      </c>
      <c r="XDO3" t="s">
        <v>11231</v>
      </c>
      <c r="XDP3" t="s">
        <v>11232</v>
      </c>
      <c r="XDQ3" t="s">
        <v>11233</v>
      </c>
      <c r="XDR3" t="s">
        <v>11234</v>
      </c>
      <c r="XDS3" t="s">
        <v>11235</v>
      </c>
      <c r="XDT3" t="s">
        <v>11236</v>
      </c>
      <c r="XDU3" t="s">
        <v>11237</v>
      </c>
      <c r="XDV3" t="s">
        <v>11238</v>
      </c>
      <c r="XDW3" t="s">
        <v>11239</v>
      </c>
      <c r="XDX3" t="s">
        <v>11240</v>
      </c>
      <c r="XDY3" t="s">
        <v>11241</v>
      </c>
      <c r="XDZ3" t="s">
        <v>11242</v>
      </c>
      <c r="XEA3" t="s">
        <v>11243</v>
      </c>
      <c r="XEB3" t="s">
        <v>11244</v>
      </c>
      <c r="XEC3" t="s">
        <v>4644</v>
      </c>
      <c r="XED3" t="s">
        <v>11245</v>
      </c>
      <c r="XEE3" t="s">
        <v>11246</v>
      </c>
      <c r="XEF3" t="s">
        <v>11247</v>
      </c>
      <c r="XEG3" t="s">
        <v>11248</v>
      </c>
      <c r="XEH3" t="s">
        <v>11249</v>
      </c>
      <c r="XEI3" t="s">
        <v>11250</v>
      </c>
      <c r="XEJ3" t="s">
        <v>11251</v>
      </c>
      <c r="XEK3" t="s">
        <v>11252</v>
      </c>
      <c r="XEL3" t="s">
        <v>11253</v>
      </c>
      <c r="XEM3" t="s">
        <v>11254</v>
      </c>
      <c r="XEN3" t="s">
        <v>11255</v>
      </c>
      <c r="XEO3" t="s">
        <v>11256</v>
      </c>
      <c r="XEP3" t="s">
        <v>11257</v>
      </c>
      <c r="XEQ3" t="s">
        <v>11258</v>
      </c>
      <c r="XER3" t="s">
        <v>11259</v>
      </c>
      <c r="XES3" t="s">
        <v>11260</v>
      </c>
      <c r="XET3" t="s">
        <v>11261</v>
      </c>
      <c r="XEU3" t="s">
        <v>11262</v>
      </c>
      <c r="XEV3" t="s">
        <v>11263</v>
      </c>
      <c r="XEW3" t="s">
        <v>11264</v>
      </c>
      <c r="XEX3" t="s">
        <v>11265</v>
      </c>
      <c r="XEY3" t="s">
        <v>11266</v>
      </c>
      <c r="XEZ3" t="s">
        <v>11267</v>
      </c>
      <c r="XFA3" t="s">
        <v>11268</v>
      </c>
      <c r="XFB3" t="s">
        <v>3218</v>
      </c>
      <c r="XFC3" t="s">
        <v>1504</v>
      </c>
      <c r="XFD3" t="s">
        <v>11269</v>
      </c>
    </row>
    <row r="4" spans="1:16384" x14ac:dyDescent="0.25">
      <c r="A4" t="s">
        <v>11270</v>
      </c>
    </row>
    <row r="5" spans="1:16384" x14ac:dyDescent="0.25">
      <c r="A5" t="s">
        <v>11271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html_forecast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Mehmet Tosun</cp:lastModifiedBy>
  <dcterms:created xsi:type="dcterms:W3CDTF">2025-12-05T14:20:55Z</dcterms:created>
  <dcterms:modified xsi:type="dcterms:W3CDTF">2025-12-05T14:20:55Z</dcterms:modified>
</cp:coreProperties>
</file>